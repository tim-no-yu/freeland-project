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<sst xmlns="http://schemas.openxmlformats.org/spreadsheetml/2006/main" count="482" uniqueCount="322">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</sst>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17" fontId="29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11</v>
      </c>
      <c r="F14" s="35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34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35</v>
      </c>
      <c r="C16" s="40" t="s">
        <v>36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37</v>
      </c>
      <c r="B17" s="45" t="s">
        <v>38</v>
      </c>
      <c r="C17" s="45" t="s">
        <v>39</v>
      </c>
      <c r="D17" s="46" t="s">
        <v>40</v>
      </c>
      <c r="E17" s="47">
        <f>SUM('DETAILED CALCULCATIONS'!G8+'DETAILED CALCULCATIONS'!G33+'DETAILED CALCULCATIONS'!G55)</f>
        <v>264</v>
      </c>
      <c r="F17" s="48" t="s">
        <v>41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42</v>
      </c>
      <c r="B18" s="49" t="s">
        <v>43</v>
      </c>
      <c r="C18" s="49" t="s">
        <v>44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45</v>
      </c>
      <c r="B19" s="49" t="s">
        <v>46</v>
      </c>
      <c r="C19" s="49" t="s">
        <v>47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48</v>
      </c>
      <c r="B20" s="49" t="s">
        <v>49</v>
      </c>
      <c r="C20" s="49" t="s">
        <v>50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51</v>
      </c>
      <c r="B21" s="49" t="s">
        <v>52</v>
      </c>
      <c r="C21" s="49" t="s">
        <v>53</v>
      </c>
      <c r="D21" s="50" t="s">
        <v>54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279</v>
      </c>
      <c r="F22" s="35" t="s">
        <v>33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55</v>
      </c>
      <c r="C23" s="40" t="s">
        <v>36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56</v>
      </c>
      <c r="B24" s="49" t="s">
        <v>57</v>
      </c>
      <c r="C24" s="49" t="s">
        <v>58</v>
      </c>
      <c r="D24" s="46" t="s">
        <v>40</v>
      </c>
      <c r="E24" s="47">
        <f>SUM('DETAILED CALCULCATIONS'!G15+'DETAILED CALCULCATIONS'!G39+'DETAILED CALCULCATIONS'!G63)</f>
        <v>0</v>
      </c>
      <c r="F24" s="48" t="s">
        <v>41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59</v>
      </c>
      <c r="B25" s="49" t="s">
        <v>60</v>
      </c>
      <c r="C25" s="49" t="s">
        <v>61</v>
      </c>
      <c r="D25" s="50" t="s">
        <v>54</v>
      </c>
      <c r="E25" s="30">
        <f t="shared" ref="E25:E29" si="2">if(D25="YES",5,0)</f>
        <v>0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62</v>
      </c>
      <c r="B26" s="49" t="s">
        <v>63</v>
      </c>
      <c r="C26" s="49" t="s">
        <v>64</v>
      </c>
      <c r="D26" s="50" t="s">
        <v>54</v>
      </c>
      <c r="E26" s="30">
        <f t="shared" si="2"/>
        <v>0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65</v>
      </c>
      <c r="B27" s="49" t="s">
        <v>66</v>
      </c>
      <c r="C27" s="49" t="s">
        <v>67</v>
      </c>
      <c r="D27" s="50" t="s">
        <v>54</v>
      </c>
      <c r="E27" s="30">
        <f t="shared" si="2"/>
        <v>0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68</v>
      </c>
      <c r="B28" s="49" t="s">
        <v>69</v>
      </c>
      <c r="C28" s="49" t="s">
        <v>70</v>
      </c>
      <c r="D28" s="50" t="s">
        <v>54</v>
      </c>
      <c r="E28" s="30">
        <f t="shared" si="2"/>
        <v>0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71</v>
      </c>
      <c r="B29" s="49" t="s">
        <v>72</v>
      </c>
      <c r="C29" s="49" t="s">
        <v>73</v>
      </c>
      <c r="D29" s="50" t="s">
        <v>54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0</v>
      </c>
      <c r="F30" s="35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74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75</v>
      </c>
      <c r="C32" s="57" t="s">
        <v>36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76</v>
      </c>
      <c r="B33" s="49" t="s">
        <v>77</v>
      </c>
      <c r="C33" s="49" t="s">
        <v>78</v>
      </c>
      <c r="D33" s="46" t="s">
        <v>40</v>
      </c>
      <c r="E33" s="47">
        <f>SUM('DETAILED CALCULCATIONS'!G20+'DETAILED CALCULCATIONS'!G45+'DETAILED CALCULCATIONS'!G68)</f>
        <v>0</v>
      </c>
      <c r="F33" s="48" t="s">
        <v>41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79</v>
      </c>
      <c r="B34" s="49" t="s">
        <v>80</v>
      </c>
      <c r="C34" s="51" t="s">
        <v>81</v>
      </c>
      <c r="D34" s="50" t="s">
        <v>54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82</v>
      </c>
      <c r="B35" s="49" t="s">
        <v>83</v>
      </c>
      <c r="C35" s="49" t="s">
        <v>84</v>
      </c>
      <c r="D35" s="50" t="s">
        <v>54</v>
      </c>
      <c r="E35" s="30">
        <f t="shared" si="3"/>
        <v>0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85</v>
      </c>
      <c r="B36" s="49" t="s">
        <v>86</v>
      </c>
      <c r="C36" s="49" t="s">
        <v>87</v>
      </c>
      <c r="D36" s="50" t="s">
        <v>54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0</v>
      </c>
      <c r="F37" s="35" t="s">
        <v>33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88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89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90</v>
      </c>
      <c r="B40" s="49" t="s">
        <v>91</v>
      </c>
      <c r="C40" s="49" t="s">
        <v>92</v>
      </c>
      <c r="D40" s="50" t="s">
        <v>54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93</v>
      </c>
      <c r="B41" s="49" t="s">
        <v>94</v>
      </c>
      <c r="C41" s="49" t="s">
        <v>95</v>
      </c>
      <c r="D41" s="50" t="s">
        <v>54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96</v>
      </c>
      <c r="B42" s="49" t="s">
        <v>97</v>
      </c>
      <c r="C42" s="51" t="s">
        <v>98</v>
      </c>
      <c r="D42" s="50" t="s">
        <v>54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0</v>
      </c>
      <c r="F43" s="66" t="s">
        <v>33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99</v>
      </c>
      <c r="B44" s="68"/>
      <c r="C44" s="68"/>
      <c r="D44" s="69"/>
      <c r="E44" s="70">
        <f>SUM(E14+E22+E30+E37+E43)</f>
        <v>290</v>
      </c>
      <c r="F44" s="71" t="s">
        <v>100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101</v>
      </c>
      <c r="D2" s="19" t="s">
        <v>102</v>
      </c>
      <c r="E2" s="76" t="s">
        <v>103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104</v>
      </c>
      <c r="C4" s="84" t="s">
        <v>105</v>
      </c>
      <c r="D4" s="85" t="s">
        <v>106</v>
      </c>
      <c r="E4" s="85" t="s">
        <v>107</v>
      </c>
      <c r="F4" s="85" t="s">
        <v>108</v>
      </c>
      <c r="G4" s="86" t="s">
        <v>109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110</v>
      </c>
      <c r="C5" s="88" t="s">
        <v>111</v>
      </c>
      <c r="D5" s="89">
        <v>0.0</v>
      </c>
      <c r="E5" s="90" t="s">
        <v>112</v>
      </c>
      <c r="F5" s="90">
        <v>10.0</v>
      </c>
      <c r="G5" s="91">
        <f t="shared" ref="G5:G7" si="1">D5*F5</f>
        <v>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113</v>
      </c>
      <c r="D6" s="89">
        <v>0.0</v>
      </c>
      <c r="E6" s="90" t="s">
        <v>114</v>
      </c>
      <c r="F6" s="90">
        <v>0.2</v>
      </c>
      <c r="G6" s="91">
        <f t="shared" si="1"/>
        <v>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115</v>
      </c>
      <c r="D7" s="89">
        <v>0.0</v>
      </c>
      <c r="E7" s="90" t="s">
        <v>112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3"/>
      <c r="C8" s="94"/>
      <c r="D8" s="94"/>
      <c r="E8" s="94"/>
      <c r="F8" s="94" t="s">
        <v>116</v>
      </c>
      <c r="G8" s="95">
        <f>SUM(G5:G7)</f>
        <v>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117</v>
      </c>
      <c r="C9" s="84" t="s">
        <v>105</v>
      </c>
      <c r="D9" s="85" t="s">
        <v>106</v>
      </c>
      <c r="E9" s="85" t="s">
        <v>107</v>
      </c>
      <c r="F9" s="85" t="s">
        <v>108</v>
      </c>
      <c r="G9" s="86" t="s">
        <v>109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6" t="s">
        <v>118</v>
      </c>
      <c r="C10" s="97" t="s">
        <v>119</v>
      </c>
      <c r="D10" s="89">
        <v>0.0</v>
      </c>
      <c r="E10" s="90" t="s">
        <v>120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7" t="s">
        <v>121</v>
      </c>
      <c r="D11" s="89">
        <v>0.0</v>
      </c>
      <c r="E11" s="90" t="s">
        <v>120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7" t="s">
        <v>122</v>
      </c>
      <c r="D12" s="89">
        <v>0.0</v>
      </c>
      <c r="E12" s="90" t="s">
        <v>120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7" t="s">
        <v>123</v>
      </c>
      <c r="D13" s="89">
        <v>0.0</v>
      </c>
      <c r="E13" s="90" t="s">
        <v>120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7" t="s">
        <v>124</v>
      </c>
      <c r="D14" s="89">
        <v>0.0</v>
      </c>
      <c r="E14" s="90" t="s">
        <v>125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3"/>
      <c r="C15" s="94" t="s">
        <v>116</v>
      </c>
      <c r="G15" s="95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126</v>
      </c>
      <c r="C16" s="84" t="s">
        <v>105</v>
      </c>
      <c r="D16" s="85" t="s">
        <v>106</v>
      </c>
      <c r="E16" s="85" t="s">
        <v>107</v>
      </c>
      <c r="F16" s="85" t="s">
        <v>108</v>
      </c>
      <c r="G16" s="86" t="s">
        <v>109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127</v>
      </c>
      <c r="C17" s="97" t="s">
        <v>128</v>
      </c>
      <c r="D17" s="89">
        <v>0.0</v>
      </c>
      <c r="E17" s="90" t="s">
        <v>120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7" t="s">
        <v>129</v>
      </c>
      <c r="D18" s="89">
        <v>0.0</v>
      </c>
      <c r="E18" s="90" t="s">
        <v>120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130</v>
      </c>
      <c r="D19" s="89">
        <v>0.0</v>
      </c>
      <c r="E19" s="90" t="s">
        <v>125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8"/>
      <c r="C20" s="99" t="s">
        <v>116</v>
      </c>
      <c r="D20" s="100"/>
      <c r="E20" s="100"/>
      <c r="F20" s="100"/>
      <c r="G20" s="101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2"/>
      <c r="C21" s="75"/>
      <c r="D21" s="103"/>
      <c r="E21" s="104"/>
      <c r="F21" s="104"/>
      <c r="G21" s="10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5" t="s">
        <v>5</v>
      </c>
      <c r="C22" s="77"/>
      <c r="D22" s="106"/>
      <c r="E22" s="107"/>
      <c r="F22" s="107"/>
      <c r="G22" s="108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09"/>
      <c r="C23" s="75"/>
      <c r="D23" s="103"/>
      <c r="E23" s="104"/>
      <c r="F23" s="104"/>
      <c r="G23" s="110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104</v>
      </c>
      <c r="C24" s="84" t="s">
        <v>105</v>
      </c>
      <c r="D24" s="85" t="s">
        <v>106</v>
      </c>
      <c r="E24" s="85" t="s">
        <v>107</v>
      </c>
      <c r="F24" s="85" t="s">
        <v>108</v>
      </c>
      <c r="G24" s="86" t="s">
        <v>109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131</v>
      </c>
      <c r="C25" s="88" t="s">
        <v>132</v>
      </c>
      <c r="D25" s="89">
        <v>0.0</v>
      </c>
      <c r="E25" s="90" t="s">
        <v>112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133</v>
      </c>
      <c r="D26" s="89">
        <v>0.0</v>
      </c>
      <c r="E26" s="90" t="s">
        <v>112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134</v>
      </c>
      <c r="D27" s="89">
        <v>0.0</v>
      </c>
      <c r="E27" s="90" t="s">
        <v>112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135</v>
      </c>
      <c r="D28" s="89">
        <v>0.0</v>
      </c>
      <c r="E28" s="90" t="s">
        <v>112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136</v>
      </c>
      <c r="D29" s="89">
        <v>0.0</v>
      </c>
      <c r="E29" s="90" t="s">
        <v>112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137</v>
      </c>
      <c r="D30" s="89">
        <v>0.0</v>
      </c>
      <c r="E30" s="90" t="s">
        <v>112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138</v>
      </c>
      <c r="D31" s="89">
        <v>0.0</v>
      </c>
      <c r="E31" s="90" t="s">
        <v>112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139</v>
      </c>
      <c r="D32" s="89">
        <v>0.0</v>
      </c>
      <c r="E32" s="90" t="s">
        <v>112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3"/>
      <c r="C33" s="94" t="s">
        <v>116</v>
      </c>
      <c r="G33" s="95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117</v>
      </c>
      <c r="C34" s="84" t="s">
        <v>105</v>
      </c>
      <c r="D34" s="85" t="s">
        <v>106</v>
      </c>
      <c r="E34" s="85" t="s">
        <v>107</v>
      </c>
      <c r="F34" s="85" t="s">
        <v>108</v>
      </c>
      <c r="G34" s="86" t="s">
        <v>109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6" t="s">
        <v>140</v>
      </c>
      <c r="C35" s="97" t="s">
        <v>141</v>
      </c>
      <c r="D35" s="89">
        <v>0.0</v>
      </c>
      <c r="E35" s="90" t="s">
        <v>120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7" t="s">
        <v>142</v>
      </c>
      <c r="D36" s="89">
        <v>0.0</v>
      </c>
      <c r="E36" s="90" t="s">
        <v>120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7" t="s">
        <v>143</v>
      </c>
      <c r="D37" s="89">
        <v>0.0</v>
      </c>
      <c r="E37" s="90" t="s">
        <v>120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7" t="s">
        <v>144</v>
      </c>
      <c r="D38" s="89">
        <v>0.0</v>
      </c>
      <c r="E38" s="90" t="s">
        <v>125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3"/>
      <c r="C39" s="94" t="s">
        <v>116</v>
      </c>
      <c r="G39" s="95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126</v>
      </c>
      <c r="C40" s="84" t="s">
        <v>105</v>
      </c>
      <c r="D40" s="85" t="s">
        <v>106</v>
      </c>
      <c r="E40" s="85" t="s">
        <v>107</v>
      </c>
      <c r="F40" s="85" t="s">
        <v>108</v>
      </c>
      <c r="G40" s="86" t="s">
        <v>109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145</v>
      </c>
      <c r="C41" s="97" t="s">
        <v>146</v>
      </c>
      <c r="D41" s="89">
        <v>0.0</v>
      </c>
      <c r="E41" s="90" t="s">
        <v>120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7" t="s">
        <v>147</v>
      </c>
      <c r="D42" s="89">
        <v>0.0</v>
      </c>
      <c r="E42" s="90" t="s">
        <v>120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7" t="s">
        <v>148</v>
      </c>
      <c r="D43" s="89">
        <v>0.0</v>
      </c>
      <c r="E43" s="90" t="s">
        <v>120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7" t="s">
        <v>149</v>
      </c>
      <c r="D44" s="89">
        <v>0.0</v>
      </c>
      <c r="E44" s="90" t="s">
        <v>120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8"/>
      <c r="C45" s="99" t="s">
        <v>116</v>
      </c>
      <c r="D45" s="100"/>
      <c r="E45" s="100"/>
      <c r="F45" s="100"/>
      <c r="G45" s="101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4"/>
      <c r="F46" s="104"/>
      <c r="G46" s="10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1" t="s">
        <v>7</v>
      </c>
      <c r="C47" s="77"/>
      <c r="D47" s="112"/>
      <c r="E47" s="107"/>
      <c r="F47" s="107"/>
      <c r="G47" s="10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104</v>
      </c>
      <c r="C48" s="84" t="s">
        <v>105</v>
      </c>
      <c r="D48" s="85" t="s">
        <v>106</v>
      </c>
      <c r="E48" s="85" t="s">
        <v>107</v>
      </c>
      <c r="F48" s="85" t="s">
        <v>108</v>
      </c>
      <c r="G48" s="86" t="s">
        <v>109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150</v>
      </c>
      <c r="C49" s="88" t="s">
        <v>151</v>
      </c>
      <c r="D49" s="113">
        <v>140.0</v>
      </c>
      <c r="E49" s="90" t="s">
        <v>112</v>
      </c>
      <c r="F49" s="90">
        <v>1.0</v>
      </c>
      <c r="G49" s="91">
        <f t="shared" ref="G49:G54" si="7">D49*F49</f>
        <v>140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152</v>
      </c>
      <c r="D50" s="113">
        <v>84.0</v>
      </c>
      <c r="E50" s="90" t="s">
        <v>112</v>
      </c>
      <c r="F50" s="90">
        <v>1.0</v>
      </c>
      <c r="G50" s="91">
        <f t="shared" si="7"/>
        <v>84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153</v>
      </c>
      <c r="D51" s="113">
        <v>4.0</v>
      </c>
      <c r="E51" s="90" t="s">
        <v>112</v>
      </c>
      <c r="F51" s="90">
        <v>10.0</v>
      </c>
      <c r="G51" s="91">
        <f t="shared" si="7"/>
        <v>40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154</v>
      </c>
      <c r="D52" s="89">
        <v>0.0</v>
      </c>
      <c r="E52" s="90" t="s">
        <v>112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155</v>
      </c>
      <c r="D53" s="89">
        <v>0.0</v>
      </c>
      <c r="E53" s="90" t="s">
        <v>112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7" t="s">
        <v>156</v>
      </c>
      <c r="D54" s="89">
        <v>0.0</v>
      </c>
      <c r="E54" s="90" t="s">
        <v>112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3"/>
      <c r="C55" s="94" t="s">
        <v>116</v>
      </c>
      <c r="G55" s="95">
        <f>SUM(G49:G54)</f>
        <v>264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117</v>
      </c>
      <c r="C56" s="84" t="s">
        <v>105</v>
      </c>
      <c r="D56" s="85" t="s">
        <v>106</v>
      </c>
      <c r="E56" s="85" t="s">
        <v>107</v>
      </c>
      <c r="F56" s="85" t="s">
        <v>108</v>
      </c>
      <c r="G56" s="86" t="s">
        <v>109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6" t="s">
        <v>157</v>
      </c>
      <c r="C57" s="97" t="s">
        <v>158</v>
      </c>
      <c r="D57" s="89">
        <v>0.0</v>
      </c>
      <c r="E57" s="90" t="s">
        <v>120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7" t="s">
        <v>159</v>
      </c>
      <c r="D58" s="89">
        <v>0.0</v>
      </c>
      <c r="E58" s="90" t="s">
        <v>120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7" t="s">
        <v>160</v>
      </c>
      <c r="D59" s="89">
        <v>0.0</v>
      </c>
      <c r="E59" s="90" t="s">
        <v>125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7" t="s">
        <v>161</v>
      </c>
      <c r="D60" s="89">
        <v>0.0</v>
      </c>
      <c r="E60" s="90" t="s">
        <v>120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7" t="s">
        <v>162</v>
      </c>
      <c r="D61" s="89">
        <v>0.0</v>
      </c>
      <c r="E61" s="90" t="s">
        <v>125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7" t="s">
        <v>163</v>
      </c>
      <c r="D62" s="89">
        <v>0.0</v>
      </c>
      <c r="E62" s="90" t="s">
        <v>112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3"/>
      <c r="C63" s="94" t="s">
        <v>116</v>
      </c>
      <c r="G63" s="95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126</v>
      </c>
      <c r="C64" s="84" t="s">
        <v>105</v>
      </c>
      <c r="D64" s="85" t="s">
        <v>106</v>
      </c>
      <c r="E64" s="85" t="s">
        <v>107</v>
      </c>
      <c r="F64" s="85" t="s">
        <v>108</v>
      </c>
      <c r="G64" s="86" t="s">
        <v>109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164</v>
      </c>
      <c r="C65" s="97" t="s">
        <v>165</v>
      </c>
      <c r="D65" s="89">
        <v>0.0</v>
      </c>
      <c r="E65" s="90" t="s">
        <v>125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7" t="s">
        <v>166</v>
      </c>
      <c r="D66" s="89">
        <v>0.0</v>
      </c>
      <c r="E66" s="90" t="s">
        <v>125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7" t="s">
        <v>167</v>
      </c>
      <c r="D67" s="89">
        <v>0.0</v>
      </c>
      <c r="E67" s="90" t="s">
        <v>120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8"/>
      <c r="C68" s="99" t="s">
        <v>116</v>
      </c>
      <c r="D68" s="100"/>
      <c r="E68" s="100"/>
      <c r="F68" s="100"/>
      <c r="G68" s="101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3"/>
      <c r="E69" s="104"/>
      <c r="F69" s="104"/>
      <c r="G69" s="104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3"/>
      <c r="E70" s="104"/>
      <c r="F70" s="104"/>
      <c r="G70" s="104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3"/>
      <c r="E71" s="104"/>
      <c r="F71" s="104"/>
      <c r="G71" s="104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3"/>
      <c r="E72" s="104"/>
      <c r="F72" s="104"/>
      <c r="G72" s="104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3"/>
      <c r="E73" s="104"/>
      <c r="F73" s="104"/>
      <c r="G73" s="104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3"/>
      <c r="E74" s="104"/>
      <c r="F74" s="104"/>
      <c r="G74" s="104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3"/>
      <c r="E75" s="104"/>
      <c r="F75" s="104"/>
      <c r="G75" s="104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3"/>
      <c r="E76" s="104"/>
      <c r="F76" s="104"/>
      <c r="G76" s="104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3"/>
      <c r="E77" s="104"/>
      <c r="F77" s="104"/>
      <c r="G77" s="104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3"/>
      <c r="E78" s="104"/>
      <c r="F78" s="104"/>
      <c r="G78" s="104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3"/>
      <c r="E79" s="104"/>
      <c r="F79" s="104"/>
      <c r="G79" s="104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3"/>
      <c r="E80" s="104"/>
      <c r="F80" s="104"/>
      <c r="G80" s="104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3"/>
      <c r="E81" s="104"/>
      <c r="F81" s="104"/>
      <c r="G81" s="104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3"/>
      <c r="E82" s="104"/>
      <c r="F82" s="104"/>
      <c r="G82" s="104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3"/>
      <c r="E83" s="104"/>
      <c r="F83" s="104"/>
      <c r="G83" s="104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3"/>
      <c r="E84" s="104"/>
      <c r="F84" s="104"/>
      <c r="G84" s="104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3"/>
      <c r="E85" s="104"/>
      <c r="F85" s="104"/>
      <c r="G85" s="104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3"/>
      <c r="E86" s="104"/>
      <c r="F86" s="104"/>
      <c r="G86" s="104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3"/>
      <c r="E87" s="104"/>
      <c r="F87" s="104"/>
      <c r="G87" s="104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3"/>
      <c r="E88" s="104"/>
      <c r="F88" s="104"/>
      <c r="G88" s="104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3"/>
      <c r="E89" s="104"/>
      <c r="F89" s="104"/>
      <c r="G89" s="104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3"/>
      <c r="E90" s="104"/>
      <c r="F90" s="104"/>
      <c r="G90" s="104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3"/>
      <c r="E91" s="104"/>
      <c r="F91" s="104"/>
      <c r="G91" s="104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3"/>
      <c r="E92" s="104"/>
      <c r="F92" s="104"/>
      <c r="G92" s="104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3"/>
      <c r="E93" s="104"/>
      <c r="F93" s="104"/>
      <c r="G93" s="104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3"/>
      <c r="E94" s="104"/>
      <c r="F94" s="104"/>
      <c r="G94" s="104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3"/>
      <c r="E95" s="104"/>
      <c r="F95" s="104"/>
      <c r="G95" s="104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3"/>
      <c r="E96" s="104"/>
      <c r="F96" s="104"/>
      <c r="G96" s="104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3"/>
      <c r="E97" s="104"/>
      <c r="F97" s="104"/>
      <c r="G97" s="104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3"/>
      <c r="E98" s="104"/>
      <c r="F98" s="104"/>
      <c r="G98" s="104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3"/>
      <c r="E99" s="104"/>
      <c r="F99" s="104"/>
      <c r="G99" s="104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3"/>
      <c r="E100" s="104"/>
      <c r="F100" s="104"/>
      <c r="G100" s="104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3"/>
      <c r="E101" s="104"/>
      <c r="F101" s="104"/>
      <c r="G101" s="104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3"/>
      <c r="E102" s="104"/>
      <c r="F102" s="104"/>
      <c r="G102" s="104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3"/>
      <c r="E103" s="104"/>
      <c r="F103" s="104"/>
      <c r="G103" s="104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3"/>
      <c r="E104" s="104"/>
      <c r="F104" s="104"/>
      <c r="G104" s="104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3"/>
      <c r="E105" s="104"/>
      <c r="F105" s="104"/>
      <c r="G105" s="104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3"/>
      <c r="E106" s="104"/>
      <c r="F106" s="104"/>
      <c r="G106" s="104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3"/>
      <c r="E107" s="104"/>
      <c r="F107" s="104"/>
      <c r="G107" s="10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3"/>
      <c r="E108" s="104"/>
      <c r="F108" s="104"/>
      <c r="G108" s="104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3"/>
      <c r="E109" s="104"/>
      <c r="F109" s="104"/>
      <c r="G109" s="10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3"/>
      <c r="E110" s="104"/>
      <c r="F110" s="104"/>
      <c r="G110" s="104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3"/>
      <c r="E111" s="104"/>
      <c r="F111" s="104"/>
      <c r="G111" s="104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3"/>
      <c r="E112" s="104"/>
      <c r="F112" s="104"/>
      <c r="G112" s="104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3"/>
      <c r="E113" s="104"/>
      <c r="F113" s="104"/>
      <c r="G113" s="104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3"/>
      <c r="E114" s="104"/>
      <c r="F114" s="104"/>
      <c r="G114" s="104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3"/>
      <c r="E115" s="104"/>
      <c r="F115" s="104"/>
      <c r="G115" s="104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3"/>
      <c r="E116" s="104"/>
      <c r="F116" s="104"/>
      <c r="G116" s="104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3"/>
      <c r="E117" s="104"/>
      <c r="F117" s="104"/>
      <c r="G117" s="104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3"/>
      <c r="E118" s="104"/>
      <c r="F118" s="104"/>
      <c r="G118" s="104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3"/>
      <c r="E119" s="104"/>
      <c r="F119" s="104"/>
      <c r="G119" s="104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3"/>
      <c r="E120" s="104"/>
      <c r="F120" s="104"/>
      <c r="G120" s="104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3"/>
      <c r="E121" s="104"/>
      <c r="F121" s="104"/>
      <c r="G121" s="104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3"/>
      <c r="E122" s="104"/>
      <c r="F122" s="104"/>
      <c r="G122" s="104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3"/>
      <c r="E123" s="104"/>
      <c r="F123" s="104"/>
      <c r="G123" s="104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3"/>
      <c r="E124" s="104"/>
      <c r="F124" s="104"/>
      <c r="G124" s="104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3"/>
      <c r="E125" s="104"/>
      <c r="F125" s="104"/>
      <c r="G125" s="104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3"/>
      <c r="E126" s="104"/>
      <c r="F126" s="104"/>
      <c r="G126" s="104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3"/>
      <c r="E127" s="104"/>
      <c r="F127" s="104"/>
      <c r="G127" s="104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3"/>
      <c r="E128" s="104"/>
      <c r="F128" s="104"/>
      <c r="G128" s="104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3"/>
      <c r="E129" s="104"/>
      <c r="F129" s="104"/>
      <c r="G129" s="104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3"/>
      <c r="E130" s="104"/>
      <c r="F130" s="104"/>
      <c r="G130" s="104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3"/>
      <c r="E131" s="104"/>
      <c r="F131" s="104"/>
      <c r="G131" s="104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3"/>
      <c r="E132" s="104"/>
      <c r="F132" s="104"/>
      <c r="G132" s="104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3"/>
      <c r="E133" s="104"/>
      <c r="F133" s="104"/>
      <c r="G133" s="104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3"/>
      <c r="E134" s="104"/>
      <c r="F134" s="104"/>
      <c r="G134" s="104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3"/>
      <c r="E135" s="104"/>
      <c r="F135" s="104"/>
      <c r="G135" s="104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3"/>
      <c r="E136" s="104"/>
      <c r="F136" s="104"/>
      <c r="G136" s="104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3"/>
      <c r="E137" s="104"/>
      <c r="F137" s="104"/>
      <c r="G137" s="104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3"/>
      <c r="E138" s="104"/>
      <c r="F138" s="104"/>
      <c r="G138" s="104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3"/>
      <c r="E139" s="104"/>
      <c r="F139" s="104"/>
      <c r="G139" s="104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3"/>
      <c r="E140" s="104"/>
      <c r="F140" s="104"/>
      <c r="G140" s="104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3"/>
      <c r="E141" s="104"/>
      <c r="F141" s="104"/>
      <c r="G141" s="104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3"/>
      <c r="E142" s="104"/>
      <c r="F142" s="104"/>
      <c r="G142" s="104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3"/>
      <c r="E143" s="104"/>
      <c r="F143" s="104"/>
      <c r="G143" s="104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3"/>
      <c r="E144" s="104"/>
      <c r="F144" s="104"/>
      <c r="G144" s="104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3"/>
      <c r="E145" s="104"/>
      <c r="F145" s="104"/>
      <c r="G145" s="104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3"/>
      <c r="E146" s="104"/>
      <c r="F146" s="104"/>
      <c r="G146" s="104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3"/>
      <c r="E147" s="104"/>
      <c r="F147" s="104"/>
      <c r="G147" s="104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3"/>
      <c r="E148" s="104"/>
      <c r="F148" s="104"/>
      <c r="G148" s="104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3"/>
      <c r="E149" s="104"/>
      <c r="F149" s="104"/>
      <c r="G149" s="104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3"/>
      <c r="E150" s="104"/>
      <c r="F150" s="104"/>
      <c r="G150" s="104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3"/>
      <c r="E151" s="104"/>
      <c r="F151" s="104"/>
      <c r="G151" s="104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3"/>
      <c r="E152" s="104"/>
      <c r="F152" s="104"/>
      <c r="G152" s="104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3"/>
      <c r="E153" s="104"/>
      <c r="F153" s="104"/>
      <c r="G153" s="104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3"/>
      <c r="E154" s="104"/>
      <c r="F154" s="104"/>
      <c r="G154" s="104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3"/>
      <c r="E155" s="104"/>
      <c r="F155" s="104"/>
      <c r="G155" s="104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3"/>
      <c r="E156" s="104"/>
      <c r="F156" s="104"/>
      <c r="G156" s="104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3"/>
      <c r="E157" s="104"/>
      <c r="F157" s="104"/>
      <c r="G157" s="104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3"/>
      <c r="E158" s="104"/>
      <c r="F158" s="104"/>
      <c r="G158" s="104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3"/>
      <c r="E159" s="104"/>
      <c r="F159" s="104"/>
      <c r="G159" s="104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3"/>
      <c r="E160" s="104"/>
      <c r="F160" s="104"/>
      <c r="G160" s="104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3"/>
      <c r="E161" s="104"/>
      <c r="F161" s="104"/>
      <c r="G161" s="104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3"/>
      <c r="E162" s="104"/>
      <c r="F162" s="104"/>
      <c r="G162" s="104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3"/>
      <c r="E163" s="104"/>
      <c r="F163" s="104"/>
      <c r="G163" s="104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3"/>
      <c r="E164" s="104"/>
      <c r="F164" s="104"/>
      <c r="G164" s="104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3"/>
      <c r="E165" s="104"/>
      <c r="F165" s="104"/>
      <c r="G165" s="104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3"/>
      <c r="E166" s="104"/>
      <c r="F166" s="104"/>
      <c r="G166" s="104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3"/>
      <c r="E167" s="104"/>
      <c r="F167" s="104"/>
      <c r="G167" s="104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3"/>
      <c r="E168" s="104"/>
      <c r="F168" s="104"/>
      <c r="G168" s="104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3"/>
      <c r="E169" s="104"/>
      <c r="F169" s="104"/>
      <c r="G169" s="104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3"/>
      <c r="E170" s="104"/>
      <c r="F170" s="104"/>
      <c r="G170" s="104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3"/>
      <c r="E171" s="104"/>
      <c r="F171" s="104"/>
      <c r="G171" s="104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3"/>
      <c r="E172" s="104"/>
      <c r="F172" s="104"/>
      <c r="G172" s="104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3"/>
      <c r="E173" s="104"/>
      <c r="F173" s="104"/>
      <c r="G173" s="104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3"/>
      <c r="E174" s="104"/>
      <c r="F174" s="104"/>
      <c r="G174" s="104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3"/>
      <c r="E175" s="104"/>
      <c r="F175" s="104"/>
      <c r="G175" s="10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3"/>
      <c r="E176" s="104"/>
      <c r="F176" s="104"/>
      <c r="G176" s="104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3"/>
      <c r="E177" s="104"/>
      <c r="F177" s="104"/>
      <c r="G177" s="104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3"/>
      <c r="E178" s="104"/>
      <c r="F178" s="104"/>
      <c r="G178" s="104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3"/>
      <c r="E179" s="104"/>
      <c r="F179" s="104"/>
      <c r="G179" s="104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3"/>
      <c r="E180" s="104"/>
      <c r="F180" s="104"/>
      <c r="G180" s="104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3"/>
      <c r="E181" s="104"/>
      <c r="F181" s="104"/>
      <c r="G181" s="104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3"/>
      <c r="E182" s="104"/>
      <c r="F182" s="104"/>
      <c r="G182" s="104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3"/>
      <c r="E183" s="104"/>
      <c r="F183" s="104"/>
      <c r="G183" s="104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3"/>
      <c r="E184" s="104"/>
      <c r="F184" s="104"/>
      <c r="G184" s="104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3"/>
      <c r="E185" s="104"/>
      <c r="F185" s="104"/>
      <c r="G185" s="104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3"/>
      <c r="E186" s="104"/>
      <c r="F186" s="104"/>
      <c r="G186" s="104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3"/>
      <c r="E187" s="104"/>
      <c r="F187" s="104"/>
      <c r="G187" s="104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3"/>
      <c r="E188" s="104"/>
      <c r="F188" s="104"/>
      <c r="G188" s="104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3"/>
      <c r="E189" s="104"/>
      <c r="F189" s="104"/>
      <c r="G189" s="104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3"/>
      <c r="E190" s="104"/>
      <c r="F190" s="104"/>
      <c r="G190" s="104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3"/>
      <c r="E191" s="104"/>
      <c r="F191" s="104"/>
      <c r="G191" s="104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3"/>
      <c r="E192" s="104"/>
      <c r="F192" s="104"/>
      <c r="G192" s="104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3"/>
      <c r="E193" s="104"/>
      <c r="F193" s="104"/>
      <c r="G193" s="104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3"/>
      <c r="E194" s="104"/>
      <c r="F194" s="104"/>
      <c r="G194" s="104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3"/>
      <c r="E195" s="104"/>
      <c r="F195" s="104"/>
      <c r="G195" s="104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3"/>
      <c r="E196" s="104"/>
      <c r="F196" s="104"/>
      <c r="G196" s="104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3"/>
      <c r="E197" s="104"/>
      <c r="F197" s="104"/>
      <c r="G197" s="104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3"/>
      <c r="E198" s="104"/>
      <c r="F198" s="104"/>
      <c r="G198" s="104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3"/>
      <c r="E199" s="104"/>
      <c r="F199" s="104"/>
      <c r="G199" s="104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3"/>
      <c r="E200" s="104"/>
      <c r="F200" s="104"/>
      <c r="G200" s="104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3"/>
      <c r="E201" s="104"/>
      <c r="F201" s="104"/>
      <c r="G201" s="104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3"/>
      <c r="E202" s="104"/>
      <c r="F202" s="104"/>
      <c r="G202" s="104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3"/>
      <c r="E203" s="104"/>
      <c r="F203" s="104"/>
      <c r="G203" s="104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3"/>
      <c r="E204" s="104"/>
      <c r="F204" s="104"/>
      <c r="G204" s="104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3"/>
      <c r="E205" s="104"/>
      <c r="F205" s="104"/>
      <c r="G205" s="104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3"/>
      <c r="E206" s="104"/>
      <c r="F206" s="104"/>
      <c r="G206" s="104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3"/>
      <c r="E207" s="104"/>
      <c r="F207" s="104"/>
      <c r="G207" s="104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3"/>
      <c r="E208" s="104"/>
      <c r="F208" s="104"/>
      <c r="G208" s="104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3"/>
      <c r="E209" s="104"/>
      <c r="F209" s="104"/>
      <c r="G209" s="104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3"/>
      <c r="E210" s="104"/>
      <c r="F210" s="104"/>
      <c r="G210" s="104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3"/>
      <c r="E211" s="104"/>
      <c r="F211" s="104"/>
      <c r="G211" s="104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3"/>
      <c r="E212" s="104"/>
      <c r="F212" s="104"/>
      <c r="G212" s="104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3"/>
      <c r="E213" s="104"/>
      <c r="F213" s="104"/>
      <c r="G213" s="104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3"/>
      <c r="E214" s="104"/>
      <c r="F214" s="104"/>
      <c r="G214" s="104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3"/>
      <c r="E215" s="104"/>
      <c r="F215" s="104"/>
      <c r="G215" s="104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3"/>
      <c r="E216" s="104"/>
      <c r="F216" s="104"/>
      <c r="G216" s="104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3"/>
      <c r="E217" s="104"/>
      <c r="F217" s="104"/>
      <c r="G217" s="104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3"/>
      <c r="E218" s="104"/>
      <c r="F218" s="104"/>
      <c r="G218" s="104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3"/>
      <c r="E219" s="104"/>
      <c r="F219" s="104"/>
      <c r="G219" s="104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3"/>
      <c r="E220" s="104"/>
      <c r="F220" s="104"/>
      <c r="G220" s="104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3"/>
      <c r="E221" s="104"/>
      <c r="F221" s="104"/>
      <c r="G221" s="104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3"/>
      <c r="E222" s="104"/>
      <c r="F222" s="104"/>
      <c r="G222" s="104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3"/>
      <c r="E223" s="104"/>
      <c r="F223" s="104"/>
      <c r="G223" s="104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3"/>
      <c r="E224" s="104"/>
      <c r="F224" s="104"/>
      <c r="G224" s="104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3"/>
      <c r="E225" s="104"/>
      <c r="F225" s="104"/>
      <c r="G225" s="104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3"/>
      <c r="E226" s="104"/>
      <c r="F226" s="104"/>
      <c r="G226" s="104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3"/>
      <c r="E227" s="104"/>
      <c r="F227" s="104"/>
      <c r="G227" s="104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3"/>
      <c r="E228" s="104"/>
      <c r="F228" s="104"/>
      <c r="G228" s="104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3"/>
      <c r="E229" s="104"/>
      <c r="F229" s="104"/>
      <c r="G229" s="104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3"/>
      <c r="E230" s="104"/>
      <c r="F230" s="104"/>
      <c r="G230" s="104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3"/>
      <c r="E231" s="104"/>
      <c r="F231" s="104"/>
      <c r="G231" s="104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3"/>
      <c r="E232" s="104"/>
      <c r="F232" s="104"/>
      <c r="G232" s="104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3"/>
      <c r="E233" s="104"/>
      <c r="F233" s="104"/>
      <c r="G233" s="104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3"/>
      <c r="E234" s="104"/>
      <c r="F234" s="104"/>
      <c r="G234" s="104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3"/>
      <c r="E235" s="104"/>
      <c r="F235" s="104"/>
      <c r="G235" s="104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3"/>
      <c r="E236" s="104"/>
      <c r="F236" s="104"/>
      <c r="G236" s="104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3"/>
      <c r="E237" s="104"/>
      <c r="F237" s="104"/>
      <c r="G237" s="104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3"/>
      <c r="E238" s="104"/>
      <c r="F238" s="104"/>
      <c r="G238" s="104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3"/>
      <c r="E239" s="104"/>
      <c r="F239" s="104"/>
      <c r="G239" s="104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3"/>
      <c r="E240" s="104"/>
      <c r="F240" s="104"/>
      <c r="G240" s="104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3"/>
      <c r="E241" s="104"/>
      <c r="F241" s="104"/>
      <c r="G241" s="104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3"/>
      <c r="E242" s="104"/>
      <c r="F242" s="104"/>
      <c r="G242" s="104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3"/>
      <c r="E243" s="104"/>
      <c r="F243" s="104"/>
      <c r="G243" s="104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3"/>
      <c r="E244" s="104"/>
      <c r="F244" s="104"/>
      <c r="G244" s="104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3"/>
      <c r="E245" s="104"/>
      <c r="F245" s="104"/>
      <c r="G245" s="104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3"/>
      <c r="E246" s="104"/>
      <c r="F246" s="104"/>
      <c r="G246" s="104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3"/>
      <c r="E247" s="104"/>
      <c r="F247" s="104"/>
      <c r="G247" s="104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3"/>
      <c r="E248" s="104"/>
      <c r="F248" s="104"/>
      <c r="G248" s="104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3"/>
      <c r="E249" s="104"/>
      <c r="F249" s="104"/>
      <c r="G249" s="104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3"/>
      <c r="E250" s="104"/>
      <c r="F250" s="104"/>
      <c r="G250" s="104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3"/>
      <c r="E251" s="104"/>
      <c r="F251" s="104"/>
      <c r="G251" s="104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3"/>
      <c r="E252" s="104"/>
      <c r="F252" s="104"/>
      <c r="G252" s="104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3"/>
      <c r="E253" s="104"/>
      <c r="F253" s="104"/>
      <c r="G253" s="104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3"/>
      <c r="E254" s="104"/>
      <c r="F254" s="104"/>
      <c r="G254" s="104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3"/>
      <c r="E255" s="104"/>
      <c r="F255" s="104"/>
      <c r="G255" s="104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3"/>
      <c r="E256" s="104"/>
      <c r="F256" s="104"/>
      <c r="G256" s="104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3"/>
      <c r="E257" s="104"/>
      <c r="F257" s="104"/>
      <c r="G257" s="104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3"/>
      <c r="E258" s="104"/>
      <c r="F258" s="104"/>
      <c r="G258" s="104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3"/>
      <c r="E259" s="104"/>
      <c r="F259" s="104"/>
      <c r="G259" s="104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3"/>
      <c r="E260" s="104"/>
      <c r="F260" s="104"/>
      <c r="G260" s="104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3"/>
      <c r="E261" s="104"/>
      <c r="F261" s="104"/>
      <c r="G261" s="104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3"/>
      <c r="E262" s="104"/>
      <c r="F262" s="104"/>
      <c r="G262" s="104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3"/>
      <c r="E263" s="104"/>
      <c r="F263" s="104"/>
      <c r="G263" s="104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3"/>
      <c r="E264" s="104"/>
      <c r="F264" s="104"/>
      <c r="G264" s="104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3"/>
      <c r="E265" s="104"/>
      <c r="F265" s="104"/>
      <c r="G265" s="104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3"/>
      <c r="E266" s="104"/>
      <c r="F266" s="104"/>
      <c r="G266" s="104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3"/>
      <c r="E267" s="104"/>
      <c r="F267" s="104"/>
      <c r="G267" s="104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3"/>
      <c r="E268" s="104"/>
      <c r="F268" s="104"/>
      <c r="G268" s="104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3"/>
      <c r="E269" s="104"/>
      <c r="F269" s="104"/>
      <c r="G269" s="104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3"/>
      <c r="E270" s="104"/>
      <c r="F270" s="104"/>
      <c r="G270" s="104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3"/>
      <c r="E271" s="104"/>
      <c r="F271" s="104"/>
      <c r="G271" s="104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3"/>
      <c r="E272" s="104"/>
      <c r="F272" s="104"/>
      <c r="G272" s="104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3"/>
      <c r="E273" s="104"/>
      <c r="F273" s="104"/>
      <c r="G273" s="104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3"/>
      <c r="E274" s="104"/>
      <c r="F274" s="104"/>
      <c r="G274" s="104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3"/>
      <c r="E275" s="104"/>
      <c r="F275" s="104"/>
      <c r="G275" s="104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3"/>
      <c r="E276" s="104"/>
      <c r="F276" s="104"/>
      <c r="G276" s="104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3"/>
      <c r="E277" s="104"/>
      <c r="F277" s="104"/>
      <c r="G277" s="104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3"/>
      <c r="E278" s="104"/>
      <c r="F278" s="104"/>
      <c r="G278" s="104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3"/>
      <c r="E279" s="104"/>
      <c r="F279" s="104"/>
      <c r="G279" s="104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3"/>
      <c r="E280" s="104"/>
      <c r="F280" s="104"/>
      <c r="G280" s="104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3"/>
      <c r="E281" s="104"/>
      <c r="F281" s="104"/>
      <c r="G281" s="104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3"/>
      <c r="E282" s="104"/>
      <c r="F282" s="104"/>
      <c r="G282" s="104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3"/>
      <c r="E283" s="104"/>
      <c r="F283" s="104"/>
      <c r="G283" s="104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3"/>
      <c r="E284" s="104"/>
      <c r="F284" s="104"/>
      <c r="G284" s="104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3"/>
      <c r="E285" s="104"/>
      <c r="F285" s="104"/>
      <c r="G285" s="104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3"/>
      <c r="E286" s="104"/>
      <c r="F286" s="104"/>
      <c r="G286" s="104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3"/>
      <c r="E287" s="104"/>
      <c r="F287" s="104"/>
      <c r="G287" s="104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3"/>
      <c r="E288" s="104"/>
      <c r="F288" s="104"/>
      <c r="G288" s="104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3"/>
      <c r="E289" s="104"/>
      <c r="F289" s="104"/>
      <c r="G289" s="104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3"/>
      <c r="E290" s="104"/>
      <c r="F290" s="104"/>
      <c r="G290" s="104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3"/>
      <c r="E291" s="104"/>
      <c r="F291" s="104"/>
      <c r="G291" s="104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3"/>
      <c r="E292" s="104"/>
      <c r="F292" s="104"/>
      <c r="G292" s="104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3"/>
      <c r="E293" s="104"/>
      <c r="F293" s="104"/>
      <c r="G293" s="104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3"/>
      <c r="E294" s="104"/>
      <c r="F294" s="104"/>
      <c r="G294" s="104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3"/>
      <c r="E295" s="104"/>
      <c r="F295" s="104"/>
      <c r="G295" s="104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3"/>
      <c r="E296" s="104"/>
      <c r="F296" s="104"/>
      <c r="G296" s="104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3"/>
      <c r="E297" s="104"/>
      <c r="F297" s="104"/>
      <c r="G297" s="104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3"/>
      <c r="E298" s="104"/>
      <c r="F298" s="104"/>
      <c r="G298" s="104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3"/>
      <c r="E299" s="104"/>
      <c r="F299" s="104"/>
      <c r="G299" s="104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3"/>
      <c r="E300" s="104"/>
      <c r="F300" s="104"/>
      <c r="G300" s="104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3"/>
      <c r="E301" s="104"/>
      <c r="F301" s="104"/>
      <c r="G301" s="104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3"/>
      <c r="E302" s="104"/>
      <c r="F302" s="104"/>
      <c r="G302" s="104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3"/>
      <c r="E303" s="104"/>
      <c r="F303" s="104"/>
      <c r="G303" s="104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3"/>
      <c r="E304" s="104"/>
      <c r="F304" s="104"/>
      <c r="G304" s="104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3"/>
      <c r="E305" s="104"/>
      <c r="F305" s="104"/>
      <c r="G305" s="104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3"/>
      <c r="E306" s="104"/>
      <c r="F306" s="104"/>
      <c r="G306" s="104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3"/>
      <c r="E307" s="104"/>
      <c r="F307" s="104"/>
      <c r="G307" s="104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3"/>
      <c r="E308" s="104"/>
      <c r="F308" s="104"/>
      <c r="G308" s="104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3"/>
      <c r="E309" s="104"/>
      <c r="F309" s="104"/>
      <c r="G309" s="104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3"/>
      <c r="E310" s="104"/>
      <c r="F310" s="104"/>
      <c r="G310" s="104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3"/>
      <c r="E311" s="104"/>
      <c r="F311" s="104"/>
      <c r="G311" s="104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3"/>
      <c r="E312" s="104"/>
      <c r="F312" s="104"/>
      <c r="G312" s="104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3"/>
      <c r="E313" s="104"/>
      <c r="F313" s="104"/>
      <c r="G313" s="104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3"/>
      <c r="E314" s="104"/>
      <c r="F314" s="104"/>
      <c r="G314" s="104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3"/>
      <c r="E315" s="104"/>
      <c r="F315" s="104"/>
      <c r="G315" s="104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3"/>
      <c r="E316" s="104"/>
      <c r="F316" s="104"/>
      <c r="G316" s="104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3"/>
      <c r="E317" s="104"/>
      <c r="F317" s="104"/>
      <c r="G317" s="104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3"/>
      <c r="E318" s="104"/>
      <c r="F318" s="104"/>
      <c r="G318" s="104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3"/>
      <c r="E319" s="104"/>
      <c r="F319" s="104"/>
      <c r="G319" s="104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3"/>
      <c r="E320" s="104"/>
      <c r="F320" s="104"/>
      <c r="G320" s="104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3"/>
      <c r="E321" s="104"/>
      <c r="F321" s="104"/>
      <c r="G321" s="104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3"/>
      <c r="E322" s="104"/>
      <c r="F322" s="104"/>
      <c r="G322" s="104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3"/>
      <c r="E323" s="104"/>
      <c r="F323" s="104"/>
      <c r="G323" s="104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3"/>
      <c r="E324" s="104"/>
      <c r="F324" s="104"/>
      <c r="G324" s="104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3"/>
      <c r="E325" s="104"/>
      <c r="F325" s="104"/>
      <c r="G325" s="104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3"/>
      <c r="E326" s="104"/>
      <c r="F326" s="104"/>
      <c r="G326" s="104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3"/>
      <c r="E327" s="104"/>
      <c r="F327" s="104"/>
      <c r="G327" s="104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3"/>
      <c r="E328" s="104"/>
      <c r="F328" s="104"/>
      <c r="G328" s="104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3"/>
      <c r="E329" s="104"/>
      <c r="F329" s="104"/>
      <c r="G329" s="104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3"/>
      <c r="E330" s="104"/>
      <c r="F330" s="104"/>
      <c r="G330" s="104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3"/>
      <c r="E331" s="104"/>
      <c r="F331" s="104"/>
      <c r="G331" s="104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3"/>
      <c r="E332" s="104"/>
      <c r="F332" s="104"/>
      <c r="G332" s="104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3"/>
      <c r="E333" s="104"/>
      <c r="F333" s="104"/>
      <c r="G333" s="104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3"/>
      <c r="E334" s="104"/>
      <c r="F334" s="104"/>
      <c r="G334" s="104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3"/>
      <c r="E335" s="104"/>
      <c r="F335" s="104"/>
      <c r="G335" s="104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3"/>
      <c r="E336" s="104"/>
      <c r="F336" s="104"/>
      <c r="G336" s="104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3"/>
      <c r="E337" s="104"/>
      <c r="F337" s="104"/>
      <c r="G337" s="104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3"/>
      <c r="E338" s="104"/>
      <c r="F338" s="104"/>
      <c r="G338" s="104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3"/>
      <c r="E339" s="104"/>
      <c r="F339" s="104"/>
      <c r="G339" s="104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3"/>
      <c r="E340" s="104"/>
      <c r="F340" s="104"/>
      <c r="G340" s="104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3"/>
      <c r="E341" s="104"/>
      <c r="F341" s="104"/>
      <c r="G341" s="104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3"/>
      <c r="E342" s="104"/>
      <c r="F342" s="104"/>
      <c r="G342" s="104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3"/>
      <c r="E343" s="104"/>
      <c r="F343" s="104"/>
      <c r="G343" s="104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3"/>
      <c r="E344" s="104"/>
      <c r="F344" s="104"/>
      <c r="G344" s="104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3"/>
      <c r="E345" s="104"/>
      <c r="F345" s="104"/>
      <c r="G345" s="104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3"/>
      <c r="E346" s="104"/>
      <c r="F346" s="104"/>
      <c r="G346" s="104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3"/>
      <c r="E347" s="104"/>
      <c r="F347" s="104"/>
      <c r="G347" s="104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3"/>
      <c r="E348" s="104"/>
      <c r="F348" s="104"/>
      <c r="G348" s="104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3"/>
      <c r="E349" s="104"/>
      <c r="F349" s="104"/>
      <c r="G349" s="104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3"/>
      <c r="E350" s="104"/>
      <c r="F350" s="104"/>
      <c r="G350" s="104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3"/>
      <c r="E351" s="104"/>
      <c r="F351" s="104"/>
      <c r="G351" s="104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3"/>
      <c r="E352" s="104"/>
      <c r="F352" s="104"/>
      <c r="G352" s="104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3"/>
      <c r="E353" s="104"/>
      <c r="F353" s="104"/>
      <c r="G353" s="104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3"/>
      <c r="E354" s="104"/>
      <c r="F354" s="104"/>
      <c r="G354" s="104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3"/>
      <c r="E355" s="104"/>
      <c r="F355" s="104"/>
      <c r="G355" s="104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3"/>
      <c r="E356" s="104"/>
      <c r="F356" s="104"/>
      <c r="G356" s="104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3"/>
      <c r="E357" s="104"/>
      <c r="F357" s="104"/>
      <c r="G357" s="104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3"/>
      <c r="E358" s="104"/>
      <c r="F358" s="104"/>
      <c r="G358" s="104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3"/>
      <c r="E359" s="104"/>
      <c r="F359" s="104"/>
      <c r="G359" s="104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3"/>
      <c r="E360" s="104"/>
      <c r="F360" s="104"/>
      <c r="G360" s="104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3"/>
      <c r="E361" s="104"/>
      <c r="F361" s="104"/>
      <c r="G361" s="104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3"/>
      <c r="E362" s="104"/>
      <c r="F362" s="104"/>
      <c r="G362" s="104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3"/>
      <c r="E363" s="104"/>
      <c r="F363" s="104"/>
      <c r="G363" s="104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3"/>
      <c r="E364" s="104"/>
      <c r="F364" s="104"/>
      <c r="G364" s="104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3"/>
      <c r="E365" s="104"/>
      <c r="F365" s="104"/>
      <c r="G365" s="104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3"/>
      <c r="E366" s="104"/>
      <c r="F366" s="104"/>
      <c r="G366" s="104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3"/>
      <c r="E367" s="104"/>
      <c r="F367" s="104"/>
      <c r="G367" s="104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3"/>
      <c r="E368" s="104"/>
      <c r="F368" s="104"/>
      <c r="G368" s="104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3"/>
      <c r="E369" s="104"/>
      <c r="F369" s="104"/>
      <c r="G369" s="104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3"/>
      <c r="E370" s="104"/>
      <c r="F370" s="104"/>
      <c r="G370" s="104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3"/>
      <c r="E371" s="104"/>
      <c r="F371" s="104"/>
      <c r="G371" s="104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3"/>
      <c r="E372" s="104"/>
      <c r="F372" s="104"/>
      <c r="G372" s="104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3"/>
      <c r="E373" s="104"/>
      <c r="F373" s="104"/>
      <c r="G373" s="104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3"/>
      <c r="E374" s="104"/>
      <c r="F374" s="104"/>
      <c r="G374" s="104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3"/>
      <c r="E375" s="104"/>
      <c r="F375" s="104"/>
      <c r="G375" s="104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3"/>
      <c r="E376" s="104"/>
      <c r="F376" s="104"/>
      <c r="G376" s="104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3"/>
      <c r="E377" s="104"/>
      <c r="F377" s="104"/>
      <c r="G377" s="104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3"/>
      <c r="E378" s="104"/>
      <c r="F378" s="104"/>
      <c r="G378" s="104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3"/>
      <c r="E379" s="104"/>
      <c r="F379" s="104"/>
      <c r="G379" s="104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3"/>
      <c r="E380" s="104"/>
      <c r="F380" s="104"/>
      <c r="G380" s="104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3"/>
      <c r="E381" s="104"/>
      <c r="F381" s="104"/>
      <c r="G381" s="104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3"/>
      <c r="E382" s="104"/>
      <c r="F382" s="104"/>
      <c r="G382" s="104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3"/>
      <c r="E383" s="104"/>
      <c r="F383" s="104"/>
      <c r="G383" s="104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3"/>
      <c r="E384" s="104"/>
      <c r="F384" s="104"/>
      <c r="G384" s="104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3"/>
      <c r="E385" s="104"/>
      <c r="F385" s="104"/>
      <c r="G385" s="104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3"/>
      <c r="E386" s="104"/>
      <c r="F386" s="104"/>
      <c r="G386" s="104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3"/>
      <c r="E387" s="104"/>
      <c r="F387" s="104"/>
      <c r="G387" s="104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3"/>
      <c r="E388" s="104"/>
      <c r="F388" s="104"/>
      <c r="G388" s="104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3"/>
      <c r="E389" s="104"/>
      <c r="F389" s="104"/>
      <c r="G389" s="104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3"/>
      <c r="E390" s="104"/>
      <c r="F390" s="104"/>
      <c r="G390" s="104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3"/>
      <c r="E391" s="104"/>
      <c r="F391" s="104"/>
      <c r="G391" s="104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3"/>
      <c r="E392" s="104"/>
      <c r="F392" s="104"/>
      <c r="G392" s="104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3"/>
      <c r="E393" s="104"/>
      <c r="F393" s="104"/>
      <c r="G393" s="104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3"/>
      <c r="E394" s="104"/>
      <c r="F394" s="104"/>
      <c r="G394" s="104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3"/>
      <c r="E395" s="104"/>
      <c r="F395" s="104"/>
      <c r="G395" s="104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3"/>
      <c r="E396" s="104"/>
      <c r="F396" s="104"/>
      <c r="G396" s="104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3"/>
      <c r="E397" s="104"/>
      <c r="F397" s="104"/>
      <c r="G397" s="104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3"/>
      <c r="E398" s="104"/>
      <c r="F398" s="104"/>
      <c r="G398" s="104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3"/>
      <c r="E399" s="104"/>
      <c r="F399" s="104"/>
      <c r="G399" s="104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3"/>
      <c r="E400" s="104"/>
      <c r="F400" s="104"/>
      <c r="G400" s="104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3"/>
      <c r="E401" s="104"/>
      <c r="F401" s="104"/>
      <c r="G401" s="104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3"/>
      <c r="E402" s="104"/>
      <c r="F402" s="104"/>
      <c r="G402" s="104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3"/>
      <c r="E403" s="104"/>
      <c r="F403" s="104"/>
      <c r="G403" s="104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3"/>
      <c r="E404" s="104"/>
      <c r="F404" s="104"/>
      <c r="G404" s="104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3"/>
      <c r="E405" s="104"/>
      <c r="F405" s="104"/>
      <c r="G405" s="104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3"/>
      <c r="E406" s="104"/>
      <c r="F406" s="104"/>
      <c r="G406" s="104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3"/>
      <c r="E407" s="104"/>
      <c r="F407" s="104"/>
      <c r="G407" s="104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3"/>
      <c r="E408" s="104"/>
      <c r="F408" s="104"/>
      <c r="G408" s="104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3"/>
      <c r="E409" s="104"/>
      <c r="F409" s="104"/>
      <c r="G409" s="104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3"/>
      <c r="E410" s="104"/>
      <c r="F410" s="104"/>
      <c r="G410" s="104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3"/>
      <c r="E411" s="104"/>
      <c r="F411" s="104"/>
      <c r="G411" s="104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3"/>
      <c r="E412" s="104"/>
      <c r="F412" s="104"/>
      <c r="G412" s="104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3"/>
      <c r="E413" s="104"/>
      <c r="F413" s="104"/>
      <c r="G413" s="104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3"/>
      <c r="E414" s="104"/>
      <c r="F414" s="104"/>
      <c r="G414" s="104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3"/>
      <c r="E415" s="104"/>
      <c r="F415" s="104"/>
      <c r="G415" s="104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3"/>
      <c r="E416" s="104"/>
      <c r="F416" s="104"/>
      <c r="G416" s="104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3"/>
      <c r="E417" s="104"/>
      <c r="F417" s="104"/>
      <c r="G417" s="104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3"/>
      <c r="E418" s="104"/>
      <c r="F418" s="104"/>
      <c r="G418" s="104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3"/>
      <c r="E419" s="104"/>
      <c r="F419" s="104"/>
      <c r="G419" s="104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3"/>
      <c r="E420" s="104"/>
      <c r="F420" s="104"/>
      <c r="G420" s="104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3"/>
      <c r="E421" s="104"/>
      <c r="F421" s="104"/>
      <c r="G421" s="104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3"/>
      <c r="E422" s="104"/>
      <c r="F422" s="104"/>
      <c r="G422" s="104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3"/>
      <c r="E423" s="104"/>
      <c r="F423" s="104"/>
      <c r="G423" s="104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3"/>
      <c r="E424" s="104"/>
      <c r="F424" s="104"/>
      <c r="G424" s="104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3"/>
      <c r="E425" s="104"/>
      <c r="F425" s="104"/>
      <c r="G425" s="104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3"/>
      <c r="E426" s="104"/>
      <c r="F426" s="104"/>
      <c r="G426" s="104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3"/>
      <c r="E427" s="104"/>
      <c r="F427" s="104"/>
      <c r="G427" s="104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3"/>
      <c r="E428" s="104"/>
      <c r="F428" s="104"/>
      <c r="G428" s="104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3"/>
      <c r="E429" s="104"/>
      <c r="F429" s="104"/>
      <c r="G429" s="104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3"/>
      <c r="E430" s="104"/>
      <c r="F430" s="104"/>
      <c r="G430" s="104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3"/>
      <c r="E431" s="104"/>
      <c r="F431" s="104"/>
      <c r="G431" s="104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3"/>
      <c r="E432" s="104"/>
      <c r="F432" s="104"/>
      <c r="G432" s="104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3"/>
      <c r="E433" s="104"/>
      <c r="F433" s="104"/>
      <c r="G433" s="104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3"/>
      <c r="E434" s="104"/>
      <c r="F434" s="104"/>
      <c r="G434" s="104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3"/>
      <c r="E435" s="104"/>
      <c r="F435" s="104"/>
      <c r="G435" s="104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3"/>
      <c r="E436" s="104"/>
      <c r="F436" s="104"/>
      <c r="G436" s="104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3"/>
      <c r="E437" s="104"/>
      <c r="F437" s="104"/>
      <c r="G437" s="104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3"/>
      <c r="E438" s="104"/>
      <c r="F438" s="104"/>
      <c r="G438" s="104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3"/>
      <c r="E439" s="104"/>
      <c r="F439" s="104"/>
      <c r="G439" s="104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3"/>
      <c r="E440" s="104"/>
      <c r="F440" s="104"/>
      <c r="G440" s="104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3"/>
      <c r="E441" s="104"/>
      <c r="F441" s="104"/>
      <c r="G441" s="104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3"/>
      <c r="E442" s="104"/>
      <c r="F442" s="104"/>
      <c r="G442" s="104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3"/>
      <c r="E443" s="104"/>
      <c r="F443" s="104"/>
      <c r="G443" s="104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3"/>
      <c r="E444" s="104"/>
      <c r="F444" s="104"/>
      <c r="G444" s="104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3"/>
      <c r="E445" s="104"/>
      <c r="F445" s="104"/>
      <c r="G445" s="104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3"/>
      <c r="E446" s="104"/>
      <c r="F446" s="104"/>
      <c r="G446" s="104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3"/>
      <c r="E447" s="104"/>
      <c r="F447" s="104"/>
      <c r="G447" s="104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3"/>
      <c r="E448" s="104"/>
      <c r="F448" s="104"/>
      <c r="G448" s="104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3"/>
      <c r="E449" s="104"/>
      <c r="F449" s="104"/>
      <c r="G449" s="104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3"/>
      <c r="E450" s="104"/>
      <c r="F450" s="104"/>
      <c r="G450" s="104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3"/>
      <c r="E451" s="104"/>
      <c r="F451" s="104"/>
      <c r="G451" s="104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3"/>
      <c r="E452" s="104"/>
      <c r="F452" s="104"/>
      <c r="G452" s="104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3"/>
      <c r="E453" s="104"/>
      <c r="F453" s="104"/>
      <c r="G453" s="104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3"/>
      <c r="E454" s="104"/>
      <c r="F454" s="104"/>
      <c r="G454" s="104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3"/>
      <c r="E455" s="104"/>
      <c r="F455" s="104"/>
      <c r="G455" s="104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3"/>
      <c r="E456" s="104"/>
      <c r="F456" s="104"/>
      <c r="G456" s="104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3"/>
      <c r="E457" s="104"/>
      <c r="F457" s="104"/>
      <c r="G457" s="104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3"/>
      <c r="E458" s="104"/>
      <c r="F458" s="104"/>
      <c r="G458" s="104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3"/>
      <c r="E459" s="104"/>
      <c r="F459" s="104"/>
      <c r="G459" s="104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3"/>
      <c r="E460" s="104"/>
      <c r="F460" s="104"/>
      <c r="G460" s="104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3"/>
      <c r="E461" s="104"/>
      <c r="F461" s="104"/>
      <c r="G461" s="104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3"/>
      <c r="E462" s="104"/>
      <c r="F462" s="104"/>
      <c r="G462" s="104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3"/>
      <c r="E463" s="104"/>
      <c r="F463" s="104"/>
      <c r="G463" s="104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3"/>
      <c r="E464" s="104"/>
      <c r="F464" s="104"/>
      <c r="G464" s="104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3"/>
      <c r="E465" s="104"/>
      <c r="F465" s="104"/>
      <c r="G465" s="104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3"/>
      <c r="E466" s="104"/>
      <c r="F466" s="104"/>
      <c r="G466" s="104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3"/>
      <c r="E467" s="104"/>
      <c r="F467" s="104"/>
      <c r="G467" s="104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3"/>
      <c r="E468" s="104"/>
      <c r="F468" s="104"/>
      <c r="G468" s="104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3"/>
      <c r="E469" s="104"/>
      <c r="F469" s="104"/>
      <c r="G469" s="104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3"/>
      <c r="E470" s="104"/>
      <c r="F470" s="104"/>
      <c r="G470" s="104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3"/>
      <c r="E471" s="104"/>
      <c r="F471" s="104"/>
      <c r="G471" s="104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3"/>
      <c r="E472" s="104"/>
      <c r="F472" s="104"/>
      <c r="G472" s="104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3"/>
      <c r="E473" s="104"/>
      <c r="F473" s="104"/>
      <c r="G473" s="104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3"/>
      <c r="E474" s="104"/>
      <c r="F474" s="104"/>
      <c r="G474" s="104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3"/>
      <c r="E475" s="104"/>
      <c r="F475" s="104"/>
      <c r="G475" s="104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3"/>
      <c r="E476" s="104"/>
      <c r="F476" s="104"/>
      <c r="G476" s="104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3"/>
      <c r="E477" s="104"/>
      <c r="F477" s="104"/>
      <c r="G477" s="104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3"/>
      <c r="E478" s="104"/>
      <c r="F478" s="104"/>
      <c r="G478" s="104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3"/>
      <c r="E479" s="104"/>
      <c r="F479" s="104"/>
      <c r="G479" s="104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3"/>
      <c r="E480" s="104"/>
      <c r="F480" s="104"/>
      <c r="G480" s="104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3"/>
      <c r="E481" s="104"/>
      <c r="F481" s="104"/>
      <c r="G481" s="104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3"/>
      <c r="E482" s="104"/>
      <c r="F482" s="104"/>
      <c r="G482" s="104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3"/>
      <c r="E483" s="104"/>
      <c r="F483" s="104"/>
      <c r="G483" s="104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3"/>
      <c r="E484" s="104"/>
      <c r="F484" s="104"/>
      <c r="G484" s="104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3"/>
      <c r="E485" s="104"/>
      <c r="F485" s="104"/>
      <c r="G485" s="104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3"/>
      <c r="E486" s="104"/>
      <c r="F486" s="104"/>
      <c r="G486" s="104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3"/>
      <c r="E487" s="104"/>
      <c r="F487" s="104"/>
      <c r="G487" s="104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3"/>
      <c r="E488" s="104"/>
      <c r="F488" s="104"/>
      <c r="G488" s="104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3"/>
      <c r="E489" s="104"/>
      <c r="F489" s="104"/>
      <c r="G489" s="104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3"/>
      <c r="E490" s="104"/>
      <c r="F490" s="104"/>
      <c r="G490" s="104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3"/>
      <c r="E491" s="104"/>
      <c r="F491" s="104"/>
      <c r="G491" s="104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3"/>
      <c r="E492" s="104"/>
      <c r="F492" s="104"/>
      <c r="G492" s="104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3"/>
      <c r="E493" s="104"/>
      <c r="F493" s="104"/>
      <c r="G493" s="104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3"/>
      <c r="E494" s="104"/>
      <c r="F494" s="104"/>
      <c r="G494" s="104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3"/>
      <c r="E495" s="104"/>
      <c r="F495" s="104"/>
      <c r="G495" s="104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3"/>
      <c r="E496" s="104"/>
      <c r="F496" s="104"/>
      <c r="G496" s="104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3"/>
      <c r="E497" s="104"/>
      <c r="F497" s="104"/>
      <c r="G497" s="104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3"/>
      <c r="E498" s="104"/>
      <c r="F498" s="104"/>
      <c r="G498" s="104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3"/>
      <c r="E499" s="104"/>
      <c r="F499" s="104"/>
      <c r="G499" s="104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3"/>
      <c r="E500" s="104"/>
      <c r="F500" s="104"/>
      <c r="G500" s="104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3"/>
      <c r="E501" s="104"/>
      <c r="F501" s="104"/>
      <c r="G501" s="104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3"/>
      <c r="E502" s="104"/>
      <c r="F502" s="104"/>
      <c r="G502" s="104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3"/>
      <c r="E503" s="104"/>
      <c r="F503" s="104"/>
      <c r="G503" s="104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3"/>
      <c r="E504" s="104"/>
      <c r="F504" s="104"/>
      <c r="G504" s="104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3"/>
      <c r="E505" s="104"/>
      <c r="F505" s="104"/>
      <c r="G505" s="104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3"/>
      <c r="E506" s="104"/>
      <c r="F506" s="104"/>
      <c r="G506" s="104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3"/>
      <c r="E507" s="104"/>
      <c r="F507" s="104"/>
      <c r="G507" s="104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3"/>
      <c r="E508" s="104"/>
      <c r="F508" s="104"/>
      <c r="G508" s="104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3"/>
      <c r="E509" s="104"/>
      <c r="F509" s="104"/>
      <c r="G509" s="104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3"/>
      <c r="E510" s="104"/>
      <c r="F510" s="104"/>
      <c r="G510" s="104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3"/>
      <c r="E511" s="104"/>
      <c r="F511" s="104"/>
      <c r="G511" s="104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3"/>
      <c r="E512" s="104"/>
      <c r="F512" s="104"/>
      <c r="G512" s="104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3"/>
      <c r="E513" s="104"/>
      <c r="F513" s="104"/>
      <c r="G513" s="104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3"/>
      <c r="E514" s="104"/>
      <c r="F514" s="104"/>
      <c r="G514" s="104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3"/>
      <c r="E515" s="104"/>
      <c r="F515" s="104"/>
      <c r="G515" s="104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3"/>
      <c r="E516" s="104"/>
      <c r="F516" s="104"/>
      <c r="G516" s="104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3"/>
      <c r="E517" s="104"/>
      <c r="F517" s="104"/>
      <c r="G517" s="104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3"/>
      <c r="E518" s="104"/>
      <c r="F518" s="104"/>
      <c r="G518" s="104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3"/>
      <c r="E519" s="104"/>
      <c r="F519" s="104"/>
      <c r="G519" s="104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3"/>
      <c r="E520" s="104"/>
      <c r="F520" s="104"/>
      <c r="G520" s="104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3"/>
      <c r="E521" s="104"/>
      <c r="F521" s="104"/>
      <c r="G521" s="104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3"/>
      <c r="E522" s="104"/>
      <c r="F522" s="104"/>
      <c r="G522" s="104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3"/>
      <c r="E523" s="104"/>
      <c r="F523" s="104"/>
      <c r="G523" s="104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3"/>
      <c r="E524" s="104"/>
      <c r="F524" s="104"/>
      <c r="G524" s="104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3"/>
      <c r="E525" s="104"/>
      <c r="F525" s="104"/>
      <c r="G525" s="104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3"/>
      <c r="E526" s="104"/>
      <c r="F526" s="104"/>
      <c r="G526" s="104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3"/>
      <c r="E527" s="104"/>
      <c r="F527" s="104"/>
      <c r="G527" s="104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3"/>
      <c r="E528" s="104"/>
      <c r="F528" s="104"/>
      <c r="G528" s="104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3"/>
      <c r="E529" s="104"/>
      <c r="F529" s="104"/>
      <c r="G529" s="104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3"/>
      <c r="E530" s="104"/>
      <c r="F530" s="104"/>
      <c r="G530" s="104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3"/>
      <c r="E531" s="104"/>
      <c r="F531" s="104"/>
      <c r="G531" s="104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3"/>
      <c r="E532" s="104"/>
      <c r="F532" s="104"/>
      <c r="G532" s="104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3"/>
      <c r="E533" s="104"/>
      <c r="F533" s="104"/>
      <c r="G533" s="104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3"/>
      <c r="E534" s="104"/>
      <c r="F534" s="104"/>
      <c r="G534" s="104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3"/>
      <c r="E535" s="104"/>
      <c r="F535" s="104"/>
      <c r="G535" s="104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3"/>
      <c r="E536" s="104"/>
      <c r="F536" s="104"/>
      <c r="G536" s="104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3"/>
      <c r="E537" s="104"/>
      <c r="F537" s="104"/>
      <c r="G537" s="104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3"/>
      <c r="E538" s="104"/>
      <c r="F538" s="104"/>
      <c r="G538" s="104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3"/>
      <c r="E539" s="104"/>
      <c r="F539" s="104"/>
      <c r="G539" s="104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3"/>
      <c r="E540" s="104"/>
      <c r="F540" s="104"/>
      <c r="G540" s="104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3"/>
      <c r="E541" s="104"/>
      <c r="F541" s="104"/>
      <c r="G541" s="104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3"/>
      <c r="E542" s="104"/>
      <c r="F542" s="104"/>
      <c r="G542" s="104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3"/>
      <c r="E543" s="104"/>
      <c r="F543" s="104"/>
      <c r="G543" s="104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3"/>
      <c r="E544" s="104"/>
      <c r="F544" s="104"/>
      <c r="G544" s="104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3"/>
      <c r="E545" s="104"/>
      <c r="F545" s="104"/>
      <c r="G545" s="104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3"/>
      <c r="E546" s="104"/>
      <c r="F546" s="104"/>
      <c r="G546" s="104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3"/>
      <c r="E547" s="104"/>
      <c r="F547" s="104"/>
      <c r="G547" s="104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3"/>
      <c r="E548" s="104"/>
      <c r="F548" s="104"/>
      <c r="G548" s="104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3"/>
      <c r="E549" s="104"/>
      <c r="F549" s="104"/>
      <c r="G549" s="104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3"/>
      <c r="E550" s="104"/>
      <c r="F550" s="104"/>
      <c r="G550" s="104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3"/>
      <c r="E551" s="104"/>
      <c r="F551" s="104"/>
      <c r="G551" s="104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3"/>
      <c r="E552" s="104"/>
      <c r="F552" s="104"/>
      <c r="G552" s="104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3"/>
      <c r="E553" s="104"/>
      <c r="F553" s="104"/>
      <c r="G553" s="104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3"/>
      <c r="E554" s="104"/>
      <c r="F554" s="104"/>
      <c r="G554" s="104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3"/>
      <c r="E555" s="104"/>
      <c r="F555" s="104"/>
      <c r="G555" s="104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3"/>
      <c r="E556" s="104"/>
      <c r="F556" s="104"/>
      <c r="G556" s="104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3"/>
      <c r="E557" s="104"/>
      <c r="F557" s="104"/>
      <c r="G557" s="104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3"/>
      <c r="E558" s="104"/>
      <c r="F558" s="104"/>
      <c r="G558" s="104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3"/>
      <c r="E559" s="104"/>
      <c r="F559" s="104"/>
      <c r="G559" s="104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3"/>
      <c r="E560" s="104"/>
      <c r="F560" s="104"/>
      <c r="G560" s="104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3"/>
      <c r="E561" s="104"/>
      <c r="F561" s="104"/>
      <c r="G561" s="104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3"/>
      <c r="E562" s="104"/>
      <c r="F562" s="104"/>
      <c r="G562" s="104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3"/>
      <c r="E563" s="104"/>
      <c r="F563" s="104"/>
      <c r="G563" s="104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3"/>
      <c r="E564" s="104"/>
      <c r="F564" s="104"/>
      <c r="G564" s="104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3"/>
      <c r="E565" s="104"/>
      <c r="F565" s="104"/>
      <c r="G565" s="104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3"/>
      <c r="E566" s="104"/>
      <c r="F566" s="104"/>
      <c r="G566" s="104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3"/>
      <c r="E567" s="104"/>
      <c r="F567" s="104"/>
      <c r="G567" s="104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3"/>
      <c r="E568" s="104"/>
      <c r="F568" s="104"/>
      <c r="G568" s="104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3"/>
      <c r="E569" s="104"/>
      <c r="F569" s="104"/>
      <c r="G569" s="104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3"/>
      <c r="E570" s="104"/>
      <c r="F570" s="104"/>
      <c r="G570" s="104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3"/>
      <c r="E571" s="104"/>
      <c r="F571" s="104"/>
      <c r="G571" s="104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3"/>
      <c r="E572" s="104"/>
      <c r="F572" s="104"/>
      <c r="G572" s="104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3"/>
      <c r="E573" s="104"/>
      <c r="F573" s="104"/>
      <c r="G573" s="104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3"/>
      <c r="E574" s="104"/>
      <c r="F574" s="104"/>
      <c r="G574" s="104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3"/>
      <c r="E575" s="104"/>
      <c r="F575" s="104"/>
      <c r="G575" s="104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3"/>
      <c r="E576" s="104"/>
      <c r="F576" s="104"/>
      <c r="G576" s="104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3"/>
      <c r="E577" s="104"/>
      <c r="F577" s="104"/>
      <c r="G577" s="104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3"/>
      <c r="E578" s="104"/>
      <c r="F578" s="104"/>
      <c r="G578" s="104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3"/>
      <c r="E579" s="104"/>
      <c r="F579" s="104"/>
      <c r="G579" s="104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3"/>
      <c r="E580" s="104"/>
      <c r="F580" s="104"/>
      <c r="G580" s="104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3"/>
      <c r="E581" s="104"/>
      <c r="F581" s="104"/>
      <c r="G581" s="104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3"/>
      <c r="E582" s="104"/>
      <c r="F582" s="104"/>
      <c r="G582" s="104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3"/>
      <c r="E583" s="104"/>
      <c r="F583" s="104"/>
      <c r="G583" s="104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3"/>
      <c r="E584" s="104"/>
      <c r="F584" s="104"/>
      <c r="G584" s="104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3"/>
      <c r="E585" s="104"/>
      <c r="F585" s="104"/>
      <c r="G585" s="104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3"/>
      <c r="E586" s="104"/>
      <c r="F586" s="104"/>
      <c r="G586" s="104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3"/>
      <c r="E587" s="104"/>
      <c r="F587" s="104"/>
      <c r="G587" s="104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3"/>
      <c r="E588" s="104"/>
      <c r="F588" s="104"/>
      <c r="G588" s="104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3"/>
      <c r="E589" s="104"/>
      <c r="F589" s="104"/>
      <c r="G589" s="104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3"/>
      <c r="E590" s="104"/>
      <c r="F590" s="104"/>
      <c r="G590" s="104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3"/>
      <c r="E591" s="104"/>
      <c r="F591" s="104"/>
      <c r="G591" s="104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3"/>
      <c r="E592" s="104"/>
      <c r="F592" s="104"/>
      <c r="G592" s="104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3"/>
      <c r="E593" s="104"/>
      <c r="F593" s="104"/>
      <c r="G593" s="104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3"/>
      <c r="E594" s="104"/>
      <c r="F594" s="104"/>
      <c r="G594" s="104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3"/>
      <c r="E595" s="104"/>
      <c r="F595" s="104"/>
      <c r="G595" s="104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3"/>
      <c r="E596" s="104"/>
      <c r="F596" s="104"/>
      <c r="G596" s="104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3"/>
      <c r="E597" s="104"/>
      <c r="F597" s="104"/>
      <c r="G597" s="104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3"/>
      <c r="E598" s="104"/>
      <c r="F598" s="104"/>
      <c r="G598" s="104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3"/>
      <c r="E599" s="104"/>
      <c r="F599" s="104"/>
      <c r="G599" s="104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3"/>
      <c r="E600" s="104"/>
      <c r="F600" s="104"/>
      <c r="G600" s="104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3"/>
      <c r="E601" s="104"/>
      <c r="F601" s="104"/>
      <c r="G601" s="104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3"/>
      <c r="E602" s="104"/>
      <c r="F602" s="104"/>
      <c r="G602" s="104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3"/>
      <c r="E603" s="104"/>
      <c r="F603" s="104"/>
      <c r="G603" s="104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3"/>
      <c r="E604" s="104"/>
      <c r="F604" s="104"/>
      <c r="G604" s="104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3"/>
      <c r="E605" s="104"/>
      <c r="F605" s="104"/>
      <c r="G605" s="104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3"/>
      <c r="E606" s="104"/>
      <c r="F606" s="104"/>
      <c r="G606" s="104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3"/>
      <c r="E607" s="104"/>
      <c r="F607" s="104"/>
      <c r="G607" s="104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3"/>
      <c r="E608" s="104"/>
      <c r="F608" s="104"/>
      <c r="G608" s="104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3"/>
      <c r="E609" s="104"/>
      <c r="F609" s="104"/>
      <c r="G609" s="104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3"/>
      <c r="E610" s="104"/>
      <c r="F610" s="104"/>
      <c r="G610" s="104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3"/>
      <c r="E611" s="104"/>
      <c r="F611" s="104"/>
      <c r="G611" s="104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3"/>
      <c r="E612" s="104"/>
      <c r="F612" s="104"/>
      <c r="G612" s="104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3"/>
      <c r="E613" s="104"/>
      <c r="F613" s="104"/>
      <c r="G613" s="104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3"/>
      <c r="E614" s="104"/>
      <c r="F614" s="104"/>
      <c r="G614" s="104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3"/>
      <c r="E615" s="104"/>
      <c r="F615" s="104"/>
      <c r="G615" s="104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3"/>
      <c r="E616" s="104"/>
      <c r="F616" s="104"/>
      <c r="G616" s="104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3"/>
      <c r="E617" s="104"/>
      <c r="F617" s="104"/>
      <c r="G617" s="104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3"/>
      <c r="E618" s="104"/>
      <c r="F618" s="104"/>
      <c r="G618" s="104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3"/>
      <c r="E619" s="104"/>
      <c r="F619" s="104"/>
      <c r="G619" s="104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3"/>
      <c r="E620" s="104"/>
      <c r="F620" s="104"/>
      <c r="G620" s="104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3"/>
      <c r="E621" s="104"/>
      <c r="F621" s="104"/>
      <c r="G621" s="104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3"/>
      <c r="E622" s="104"/>
      <c r="F622" s="104"/>
      <c r="G622" s="104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3"/>
      <c r="E623" s="104"/>
      <c r="F623" s="104"/>
      <c r="G623" s="104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3"/>
      <c r="E624" s="104"/>
      <c r="F624" s="104"/>
      <c r="G624" s="104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3"/>
      <c r="E625" s="104"/>
      <c r="F625" s="104"/>
      <c r="G625" s="104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3"/>
      <c r="E626" s="104"/>
      <c r="F626" s="104"/>
      <c r="G626" s="104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3"/>
      <c r="E627" s="104"/>
      <c r="F627" s="104"/>
      <c r="G627" s="104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3"/>
      <c r="E628" s="104"/>
      <c r="F628" s="104"/>
      <c r="G628" s="104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3"/>
      <c r="E629" s="104"/>
      <c r="F629" s="104"/>
      <c r="G629" s="104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3"/>
      <c r="E630" s="104"/>
      <c r="F630" s="104"/>
      <c r="G630" s="104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3"/>
      <c r="E631" s="104"/>
      <c r="F631" s="104"/>
      <c r="G631" s="104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3"/>
      <c r="E632" s="104"/>
      <c r="F632" s="104"/>
      <c r="G632" s="104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3"/>
      <c r="E633" s="104"/>
      <c r="F633" s="104"/>
      <c r="G633" s="104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3"/>
      <c r="E634" s="104"/>
      <c r="F634" s="104"/>
      <c r="G634" s="104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3"/>
      <c r="E635" s="104"/>
      <c r="F635" s="104"/>
      <c r="G635" s="104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3"/>
      <c r="E636" s="104"/>
      <c r="F636" s="104"/>
      <c r="G636" s="104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3"/>
      <c r="E637" s="104"/>
      <c r="F637" s="104"/>
      <c r="G637" s="104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3"/>
      <c r="E638" s="104"/>
      <c r="F638" s="104"/>
      <c r="G638" s="104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3"/>
      <c r="E639" s="104"/>
      <c r="F639" s="104"/>
      <c r="G639" s="104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3"/>
      <c r="E640" s="104"/>
      <c r="F640" s="104"/>
      <c r="G640" s="104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3"/>
      <c r="E641" s="104"/>
      <c r="F641" s="104"/>
      <c r="G641" s="104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3"/>
      <c r="E642" s="104"/>
      <c r="F642" s="104"/>
      <c r="G642" s="104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3"/>
      <c r="E643" s="104"/>
      <c r="F643" s="104"/>
      <c r="G643" s="104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3"/>
      <c r="E644" s="104"/>
      <c r="F644" s="104"/>
      <c r="G644" s="104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3"/>
      <c r="E645" s="104"/>
      <c r="F645" s="104"/>
      <c r="G645" s="104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3"/>
      <c r="E646" s="104"/>
      <c r="F646" s="104"/>
      <c r="G646" s="104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3"/>
      <c r="E647" s="104"/>
      <c r="F647" s="104"/>
      <c r="G647" s="104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3"/>
      <c r="E648" s="104"/>
      <c r="F648" s="104"/>
      <c r="G648" s="104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3"/>
      <c r="E649" s="104"/>
      <c r="F649" s="104"/>
      <c r="G649" s="104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3"/>
      <c r="E650" s="104"/>
      <c r="F650" s="104"/>
      <c r="G650" s="104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3"/>
      <c r="E651" s="104"/>
      <c r="F651" s="104"/>
      <c r="G651" s="104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3"/>
      <c r="E652" s="104"/>
      <c r="F652" s="104"/>
      <c r="G652" s="104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3"/>
      <c r="E653" s="104"/>
      <c r="F653" s="104"/>
      <c r="G653" s="104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3"/>
      <c r="E654" s="104"/>
      <c r="F654" s="104"/>
      <c r="G654" s="104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3"/>
      <c r="E655" s="104"/>
      <c r="F655" s="104"/>
      <c r="G655" s="104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3"/>
      <c r="E656" s="104"/>
      <c r="F656" s="104"/>
      <c r="G656" s="104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3"/>
      <c r="E657" s="104"/>
      <c r="F657" s="104"/>
      <c r="G657" s="104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3"/>
      <c r="E658" s="104"/>
      <c r="F658" s="104"/>
      <c r="G658" s="104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3"/>
      <c r="E659" s="104"/>
      <c r="F659" s="104"/>
      <c r="G659" s="104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3"/>
      <c r="E660" s="104"/>
      <c r="F660" s="104"/>
      <c r="G660" s="104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3"/>
      <c r="E661" s="104"/>
      <c r="F661" s="104"/>
      <c r="G661" s="104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3"/>
      <c r="E662" s="104"/>
      <c r="F662" s="104"/>
      <c r="G662" s="104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3"/>
      <c r="E663" s="104"/>
      <c r="F663" s="104"/>
      <c r="G663" s="104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3"/>
      <c r="E664" s="104"/>
      <c r="F664" s="104"/>
      <c r="G664" s="104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3"/>
      <c r="E665" s="104"/>
      <c r="F665" s="104"/>
      <c r="G665" s="104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3"/>
      <c r="E666" s="104"/>
      <c r="F666" s="104"/>
      <c r="G666" s="104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3"/>
      <c r="E667" s="104"/>
      <c r="F667" s="104"/>
      <c r="G667" s="104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3"/>
      <c r="E668" s="104"/>
      <c r="F668" s="104"/>
      <c r="G668" s="104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3"/>
      <c r="E669" s="104"/>
      <c r="F669" s="104"/>
      <c r="G669" s="104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3"/>
      <c r="E670" s="104"/>
      <c r="F670" s="104"/>
      <c r="G670" s="104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3"/>
      <c r="E671" s="104"/>
      <c r="F671" s="104"/>
      <c r="G671" s="104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3"/>
      <c r="E672" s="104"/>
      <c r="F672" s="104"/>
      <c r="G672" s="104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3"/>
      <c r="E673" s="104"/>
      <c r="F673" s="104"/>
      <c r="G673" s="104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3"/>
      <c r="E674" s="104"/>
      <c r="F674" s="104"/>
      <c r="G674" s="104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3"/>
      <c r="E675" s="104"/>
      <c r="F675" s="104"/>
      <c r="G675" s="104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3"/>
      <c r="E676" s="104"/>
      <c r="F676" s="104"/>
      <c r="G676" s="104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3"/>
      <c r="E677" s="104"/>
      <c r="F677" s="104"/>
      <c r="G677" s="104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3"/>
      <c r="E678" s="104"/>
      <c r="F678" s="104"/>
      <c r="G678" s="104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3"/>
      <c r="E679" s="104"/>
      <c r="F679" s="104"/>
      <c r="G679" s="104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3"/>
      <c r="E680" s="104"/>
      <c r="F680" s="104"/>
      <c r="G680" s="104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3"/>
      <c r="E681" s="104"/>
      <c r="F681" s="104"/>
      <c r="G681" s="104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3"/>
      <c r="E682" s="104"/>
      <c r="F682" s="104"/>
      <c r="G682" s="104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3"/>
      <c r="E683" s="104"/>
      <c r="F683" s="104"/>
      <c r="G683" s="104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3"/>
      <c r="E684" s="104"/>
      <c r="F684" s="104"/>
      <c r="G684" s="104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3"/>
      <c r="E685" s="104"/>
      <c r="F685" s="104"/>
      <c r="G685" s="104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3"/>
      <c r="E686" s="104"/>
      <c r="F686" s="104"/>
      <c r="G686" s="104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3"/>
      <c r="E687" s="104"/>
      <c r="F687" s="104"/>
      <c r="G687" s="104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3"/>
      <c r="E688" s="104"/>
      <c r="F688" s="104"/>
      <c r="G688" s="104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3"/>
      <c r="E689" s="104"/>
      <c r="F689" s="104"/>
      <c r="G689" s="104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3"/>
      <c r="E690" s="104"/>
      <c r="F690" s="104"/>
      <c r="G690" s="104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3"/>
      <c r="E691" s="104"/>
      <c r="F691" s="104"/>
      <c r="G691" s="104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3"/>
      <c r="E692" s="104"/>
      <c r="F692" s="104"/>
      <c r="G692" s="104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3"/>
      <c r="E693" s="104"/>
      <c r="F693" s="104"/>
      <c r="G693" s="104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3"/>
      <c r="E694" s="104"/>
      <c r="F694" s="104"/>
      <c r="G694" s="104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3"/>
      <c r="E695" s="104"/>
      <c r="F695" s="104"/>
      <c r="G695" s="104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3"/>
      <c r="E696" s="104"/>
      <c r="F696" s="104"/>
      <c r="G696" s="104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3"/>
      <c r="E697" s="104"/>
      <c r="F697" s="104"/>
      <c r="G697" s="104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3"/>
      <c r="E698" s="104"/>
      <c r="F698" s="104"/>
      <c r="G698" s="104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3"/>
      <c r="E699" s="104"/>
      <c r="F699" s="104"/>
      <c r="G699" s="104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3"/>
      <c r="E700" s="104"/>
      <c r="F700" s="104"/>
      <c r="G700" s="104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3"/>
      <c r="E701" s="104"/>
      <c r="F701" s="104"/>
      <c r="G701" s="104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3"/>
      <c r="E702" s="104"/>
      <c r="F702" s="104"/>
      <c r="G702" s="104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3"/>
      <c r="E703" s="104"/>
      <c r="F703" s="104"/>
      <c r="G703" s="104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3"/>
      <c r="E704" s="104"/>
      <c r="F704" s="104"/>
      <c r="G704" s="104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3"/>
      <c r="E705" s="104"/>
      <c r="F705" s="104"/>
      <c r="G705" s="104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3"/>
      <c r="E706" s="104"/>
      <c r="F706" s="104"/>
      <c r="G706" s="104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3"/>
      <c r="E707" s="104"/>
      <c r="F707" s="104"/>
      <c r="G707" s="104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3"/>
      <c r="E708" s="104"/>
      <c r="F708" s="104"/>
      <c r="G708" s="104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3"/>
      <c r="E709" s="104"/>
      <c r="F709" s="104"/>
      <c r="G709" s="104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3"/>
      <c r="E710" s="104"/>
      <c r="F710" s="104"/>
      <c r="G710" s="104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3"/>
      <c r="E711" s="104"/>
      <c r="F711" s="104"/>
      <c r="G711" s="104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3"/>
      <c r="E712" s="104"/>
      <c r="F712" s="104"/>
      <c r="G712" s="104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3"/>
      <c r="E713" s="104"/>
      <c r="F713" s="104"/>
      <c r="G713" s="104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3"/>
      <c r="E714" s="104"/>
      <c r="F714" s="104"/>
      <c r="G714" s="104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3"/>
      <c r="E715" s="104"/>
      <c r="F715" s="104"/>
      <c r="G715" s="104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3"/>
      <c r="E716" s="104"/>
      <c r="F716" s="104"/>
      <c r="G716" s="104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3"/>
      <c r="E717" s="104"/>
      <c r="F717" s="104"/>
      <c r="G717" s="104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3"/>
      <c r="E718" s="104"/>
      <c r="F718" s="104"/>
      <c r="G718" s="104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3"/>
      <c r="E719" s="104"/>
      <c r="F719" s="104"/>
      <c r="G719" s="104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3"/>
      <c r="E720" s="104"/>
      <c r="F720" s="104"/>
      <c r="G720" s="104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3"/>
      <c r="E721" s="104"/>
      <c r="F721" s="104"/>
      <c r="G721" s="104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3"/>
      <c r="E722" s="104"/>
      <c r="F722" s="104"/>
      <c r="G722" s="104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3"/>
      <c r="E723" s="104"/>
      <c r="F723" s="104"/>
      <c r="G723" s="104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3"/>
      <c r="E724" s="104"/>
      <c r="F724" s="104"/>
      <c r="G724" s="104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3"/>
      <c r="E725" s="104"/>
      <c r="F725" s="104"/>
      <c r="G725" s="104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3"/>
      <c r="E726" s="104"/>
      <c r="F726" s="104"/>
      <c r="G726" s="104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3"/>
      <c r="E727" s="104"/>
      <c r="F727" s="104"/>
      <c r="G727" s="104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3"/>
      <c r="E728" s="104"/>
      <c r="F728" s="104"/>
      <c r="G728" s="104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3"/>
      <c r="E729" s="104"/>
      <c r="F729" s="104"/>
      <c r="G729" s="104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3"/>
      <c r="E730" s="104"/>
      <c r="F730" s="104"/>
      <c r="G730" s="104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3"/>
      <c r="E731" s="104"/>
      <c r="F731" s="104"/>
      <c r="G731" s="104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3"/>
      <c r="E732" s="104"/>
      <c r="F732" s="104"/>
      <c r="G732" s="104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3"/>
      <c r="E733" s="104"/>
      <c r="F733" s="104"/>
      <c r="G733" s="104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3"/>
      <c r="E734" s="104"/>
      <c r="F734" s="104"/>
      <c r="G734" s="104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3"/>
      <c r="E735" s="104"/>
      <c r="F735" s="104"/>
      <c r="G735" s="104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3"/>
      <c r="E736" s="104"/>
      <c r="F736" s="104"/>
      <c r="G736" s="104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3"/>
      <c r="E737" s="104"/>
      <c r="F737" s="104"/>
      <c r="G737" s="104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3"/>
      <c r="E738" s="104"/>
      <c r="F738" s="104"/>
      <c r="G738" s="104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3"/>
      <c r="E739" s="104"/>
      <c r="F739" s="104"/>
      <c r="G739" s="104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3"/>
      <c r="E740" s="104"/>
      <c r="F740" s="104"/>
      <c r="G740" s="104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3"/>
      <c r="E741" s="104"/>
      <c r="F741" s="104"/>
      <c r="G741" s="104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3"/>
      <c r="E742" s="104"/>
      <c r="F742" s="104"/>
      <c r="G742" s="104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3"/>
      <c r="E743" s="104"/>
      <c r="F743" s="104"/>
      <c r="G743" s="104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3"/>
      <c r="E744" s="104"/>
      <c r="F744" s="104"/>
      <c r="G744" s="104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3"/>
      <c r="E745" s="104"/>
      <c r="F745" s="104"/>
      <c r="G745" s="104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3"/>
      <c r="E746" s="104"/>
      <c r="F746" s="104"/>
      <c r="G746" s="104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3"/>
      <c r="E747" s="104"/>
      <c r="F747" s="104"/>
      <c r="G747" s="104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3"/>
      <c r="E748" s="104"/>
      <c r="F748" s="104"/>
      <c r="G748" s="104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3"/>
      <c r="E749" s="104"/>
      <c r="F749" s="104"/>
      <c r="G749" s="104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3"/>
      <c r="E750" s="104"/>
      <c r="F750" s="104"/>
      <c r="G750" s="104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3"/>
      <c r="E751" s="104"/>
      <c r="F751" s="104"/>
      <c r="G751" s="104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3"/>
      <c r="E752" s="104"/>
      <c r="F752" s="104"/>
      <c r="G752" s="104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3"/>
      <c r="E753" s="104"/>
      <c r="F753" s="104"/>
      <c r="G753" s="104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3"/>
      <c r="E754" s="104"/>
      <c r="F754" s="104"/>
      <c r="G754" s="104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3"/>
      <c r="E755" s="104"/>
      <c r="F755" s="104"/>
      <c r="G755" s="104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3"/>
      <c r="E756" s="104"/>
      <c r="F756" s="104"/>
      <c r="G756" s="104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3"/>
      <c r="E757" s="104"/>
      <c r="F757" s="104"/>
      <c r="G757" s="104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3"/>
      <c r="E758" s="104"/>
      <c r="F758" s="104"/>
      <c r="G758" s="104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3"/>
      <c r="E759" s="104"/>
      <c r="F759" s="104"/>
      <c r="G759" s="104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3"/>
      <c r="E760" s="104"/>
      <c r="F760" s="104"/>
      <c r="G760" s="104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3"/>
      <c r="E761" s="104"/>
      <c r="F761" s="104"/>
      <c r="G761" s="104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3"/>
      <c r="E762" s="104"/>
      <c r="F762" s="104"/>
      <c r="G762" s="104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3"/>
      <c r="E763" s="104"/>
      <c r="F763" s="104"/>
      <c r="G763" s="104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3"/>
      <c r="E764" s="104"/>
      <c r="F764" s="104"/>
      <c r="G764" s="104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3"/>
      <c r="E765" s="104"/>
      <c r="F765" s="104"/>
      <c r="G765" s="104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3"/>
      <c r="E766" s="104"/>
      <c r="F766" s="104"/>
      <c r="G766" s="104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3"/>
      <c r="E767" s="104"/>
      <c r="F767" s="104"/>
      <c r="G767" s="104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3"/>
      <c r="E768" s="104"/>
      <c r="F768" s="104"/>
      <c r="G768" s="104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3"/>
      <c r="E769" s="104"/>
      <c r="F769" s="104"/>
      <c r="G769" s="104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3"/>
      <c r="E770" s="104"/>
      <c r="F770" s="104"/>
      <c r="G770" s="104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3"/>
      <c r="E771" s="104"/>
      <c r="F771" s="104"/>
      <c r="G771" s="104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3"/>
      <c r="E772" s="104"/>
      <c r="F772" s="104"/>
      <c r="G772" s="104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3"/>
      <c r="E773" s="104"/>
      <c r="F773" s="104"/>
      <c r="G773" s="104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3"/>
      <c r="E774" s="104"/>
      <c r="F774" s="104"/>
      <c r="G774" s="104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3"/>
      <c r="E775" s="104"/>
      <c r="F775" s="104"/>
      <c r="G775" s="104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3"/>
      <c r="E776" s="104"/>
      <c r="F776" s="104"/>
      <c r="G776" s="104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3"/>
      <c r="E777" s="104"/>
      <c r="F777" s="104"/>
      <c r="G777" s="104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3"/>
      <c r="E778" s="104"/>
      <c r="F778" s="104"/>
      <c r="G778" s="104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3"/>
      <c r="E779" s="104"/>
      <c r="F779" s="104"/>
      <c r="G779" s="104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3"/>
      <c r="E780" s="104"/>
      <c r="F780" s="104"/>
      <c r="G780" s="104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3"/>
      <c r="E781" s="104"/>
      <c r="F781" s="104"/>
      <c r="G781" s="104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3"/>
      <c r="E782" s="104"/>
      <c r="F782" s="104"/>
      <c r="G782" s="104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3"/>
      <c r="E783" s="104"/>
      <c r="F783" s="104"/>
      <c r="G783" s="104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3"/>
      <c r="E784" s="104"/>
      <c r="F784" s="104"/>
      <c r="G784" s="104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3"/>
      <c r="E785" s="104"/>
      <c r="F785" s="104"/>
      <c r="G785" s="104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3"/>
      <c r="E786" s="104"/>
      <c r="F786" s="104"/>
      <c r="G786" s="104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3"/>
      <c r="E787" s="104"/>
      <c r="F787" s="104"/>
      <c r="G787" s="104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3"/>
      <c r="E788" s="104"/>
      <c r="F788" s="104"/>
      <c r="G788" s="104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3"/>
      <c r="E789" s="104"/>
      <c r="F789" s="104"/>
      <c r="G789" s="104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3"/>
      <c r="E790" s="104"/>
      <c r="F790" s="104"/>
      <c r="G790" s="104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3"/>
      <c r="E791" s="104"/>
      <c r="F791" s="104"/>
      <c r="G791" s="104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3"/>
      <c r="E792" s="104"/>
      <c r="F792" s="104"/>
      <c r="G792" s="104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3"/>
      <c r="E793" s="104"/>
      <c r="F793" s="104"/>
      <c r="G793" s="104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3"/>
      <c r="E794" s="104"/>
      <c r="F794" s="104"/>
      <c r="G794" s="104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3"/>
      <c r="E795" s="104"/>
      <c r="F795" s="104"/>
      <c r="G795" s="104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3"/>
      <c r="E796" s="104"/>
      <c r="F796" s="104"/>
      <c r="G796" s="104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3"/>
      <c r="E797" s="104"/>
      <c r="F797" s="104"/>
      <c r="G797" s="104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3"/>
      <c r="E798" s="104"/>
      <c r="F798" s="104"/>
      <c r="G798" s="104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3"/>
      <c r="E799" s="104"/>
      <c r="F799" s="104"/>
      <c r="G799" s="104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3"/>
      <c r="E800" s="104"/>
      <c r="F800" s="104"/>
      <c r="G800" s="104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3"/>
      <c r="E801" s="104"/>
      <c r="F801" s="104"/>
      <c r="G801" s="104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3"/>
      <c r="E802" s="104"/>
      <c r="F802" s="104"/>
      <c r="G802" s="104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3"/>
      <c r="E803" s="104"/>
      <c r="F803" s="104"/>
      <c r="G803" s="104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3"/>
      <c r="E804" s="104"/>
      <c r="F804" s="104"/>
      <c r="G804" s="104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3"/>
      <c r="E805" s="104"/>
      <c r="F805" s="104"/>
      <c r="G805" s="104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3"/>
      <c r="E806" s="104"/>
      <c r="F806" s="104"/>
      <c r="G806" s="104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3"/>
      <c r="E807" s="104"/>
      <c r="F807" s="104"/>
      <c r="G807" s="104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3"/>
      <c r="E808" s="104"/>
      <c r="F808" s="104"/>
      <c r="G808" s="104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3"/>
      <c r="E809" s="104"/>
      <c r="F809" s="104"/>
      <c r="G809" s="104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3"/>
      <c r="E810" s="104"/>
      <c r="F810" s="104"/>
      <c r="G810" s="104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3"/>
      <c r="E811" s="104"/>
      <c r="F811" s="104"/>
      <c r="G811" s="104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3"/>
      <c r="E812" s="104"/>
      <c r="F812" s="104"/>
      <c r="G812" s="104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3"/>
      <c r="E813" s="104"/>
      <c r="F813" s="104"/>
      <c r="G813" s="104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3"/>
      <c r="E814" s="104"/>
      <c r="F814" s="104"/>
      <c r="G814" s="104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3"/>
      <c r="E815" s="104"/>
      <c r="F815" s="104"/>
      <c r="G815" s="104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3"/>
      <c r="E816" s="104"/>
      <c r="F816" s="104"/>
      <c r="G816" s="104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3"/>
      <c r="E817" s="104"/>
      <c r="F817" s="104"/>
      <c r="G817" s="104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3"/>
      <c r="E818" s="104"/>
      <c r="F818" s="104"/>
      <c r="G818" s="104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3"/>
      <c r="E819" s="104"/>
      <c r="F819" s="104"/>
      <c r="G819" s="104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3"/>
      <c r="E820" s="104"/>
      <c r="F820" s="104"/>
      <c r="G820" s="104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3"/>
      <c r="E821" s="104"/>
      <c r="F821" s="104"/>
      <c r="G821" s="104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3"/>
      <c r="E822" s="104"/>
      <c r="F822" s="104"/>
      <c r="G822" s="104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3"/>
      <c r="E823" s="104"/>
      <c r="F823" s="104"/>
      <c r="G823" s="104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3"/>
      <c r="E824" s="104"/>
      <c r="F824" s="104"/>
      <c r="G824" s="104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3"/>
      <c r="E825" s="104"/>
      <c r="F825" s="104"/>
      <c r="G825" s="104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3"/>
      <c r="E826" s="104"/>
      <c r="F826" s="104"/>
      <c r="G826" s="104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3"/>
      <c r="E827" s="104"/>
      <c r="F827" s="104"/>
      <c r="G827" s="104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3"/>
      <c r="E828" s="104"/>
      <c r="F828" s="104"/>
      <c r="G828" s="104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3"/>
      <c r="E829" s="104"/>
      <c r="F829" s="104"/>
      <c r="G829" s="104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3"/>
      <c r="E830" s="104"/>
      <c r="F830" s="104"/>
      <c r="G830" s="104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3"/>
      <c r="E831" s="104"/>
      <c r="F831" s="104"/>
      <c r="G831" s="104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3"/>
      <c r="E832" s="104"/>
      <c r="F832" s="104"/>
      <c r="G832" s="104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3"/>
      <c r="E833" s="104"/>
      <c r="F833" s="104"/>
      <c r="G833" s="104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3"/>
      <c r="E834" s="104"/>
      <c r="F834" s="104"/>
      <c r="G834" s="104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3"/>
      <c r="E835" s="104"/>
      <c r="F835" s="104"/>
      <c r="G835" s="104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3"/>
      <c r="E836" s="104"/>
      <c r="F836" s="104"/>
      <c r="G836" s="104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3"/>
      <c r="E837" s="104"/>
      <c r="F837" s="104"/>
      <c r="G837" s="104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3"/>
      <c r="E838" s="104"/>
      <c r="F838" s="104"/>
      <c r="G838" s="104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3"/>
      <c r="E839" s="104"/>
      <c r="F839" s="104"/>
      <c r="G839" s="104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3"/>
      <c r="E840" s="104"/>
      <c r="F840" s="104"/>
      <c r="G840" s="104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3"/>
      <c r="E841" s="104"/>
      <c r="F841" s="104"/>
      <c r="G841" s="104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3"/>
      <c r="E842" s="104"/>
      <c r="F842" s="104"/>
      <c r="G842" s="104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3"/>
      <c r="E843" s="104"/>
      <c r="F843" s="104"/>
      <c r="G843" s="104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3"/>
      <c r="E844" s="104"/>
      <c r="F844" s="104"/>
      <c r="G844" s="104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3"/>
      <c r="E845" s="104"/>
      <c r="F845" s="104"/>
      <c r="G845" s="104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3"/>
      <c r="E846" s="104"/>
      <c r="F846" s="104"/>
      <c r="G846" s="104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3"/>
      <c r="E847" s="104"/>
      <c r="F847" s="104"/>
      <c r="G847" s="104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3"/>
      <c r="E848" s="104"/>
      <c r="F848" s="104"/>
      <c r="G848" s="104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3"/>
      <c r="E849" s="104"/>
      <c r="F849" s="104"/>
      <c r="G849" s="104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3"/>
      <c r="E850" s="104"/>
      <c r="F850" s="104"/>
      <c r="G850" s="104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3"/>
      <c r="E851" s="104"/>
      <c r="F851" s="104"/>
      <c r="G851" s="104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3"/>
      <c r="E852" s="104"/>
      <c r="F852" s="104"/>
      <c r="G852" s="104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3"/>
      <c r="E853" s="104"/>
      <c r="F853" s="104"/>
      <c r="G853" s="104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3"/>
      <c r="E854" s="104"/>
      <c r="F854" s="104"/>
      <c r="G854" s="104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3"/>
      <c r="E855" s="104"/>
      <c r="F855" s="104"/>
      <c r="G855" s="104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3"/>
      <c r="E856" s="104"/>
      <c r="F856" s="104"/>
      <c r="G856" s="104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3"/>
      <c r="E857" s="104"/>
      <c r="F857" s="104"/>
      <c r="G857" s="104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3"/>
      <c r="E858" s="104"/>
      <c r="F858" s="104"/>
      <c r="G858" s="104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3"/>
      <c r="E859" s="104"/>
      <c r="F859" s="104"/>
      <c r="G859" s="104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3"/>
      <c r="E860" s="104"/>
      <c r="F860" s="104"/>
      <c r="G860" s="104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3"/>
      <c r="E861" s="104"/>
      <c r="F861" s="104"/>
      <c r="G861" s="104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3"/>
      <c r="E862" s="104"/>
      <c r="F862" s="104"/>
      <c r="G862" s="104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3"/>
      <c r="E863" s="104"/>
      <c r="F863" s="104"/>
      <c r="G863" s="104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3"/>
      <c r="E864" s="104"/>
      <c r="F864" s="104"/>
      <c r="G864" s="104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3"/>
      <c r="E865" s="104"/>
      <c r="F865" s="104"/>
      <c r="G865" s="104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3"/>
      <c r="E866" s="104"/>
      <c r="F866" s="104"/>
      <c r="G866" s="104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3"/>
      <c r="E867" s="104"/>
      <c r="F867" s="104"/>
      <c r="G867" s="104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3"/>
      <c r="E868" s="104"/>
      <c r="F868" s="104"/>
      <c r="G868" s="104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3"/>
      <c r="E869" s="104"/>
      <c r="F869" s="104"/>
      <c r="G869" s="104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3"/>
      <c r="E870" s="104"/>
      <c r="F870" s="104"/>
      <c r="G870" s="104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3"/>
      <c r="E871" s="104"/>
      <c r="F871" s="104"/>
      <c r="G871" s="104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3"/>
      <c r="E872" s="104"/>
      <c r="F872" s="104"/>
      <c r="G872" s="104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3"/>
      <c r="E873" s="104"/>
      <c r="F873" s="104"/>
      <c r="G873" s="104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3"/>
      <c r="E874" s="104"/>
      <c r="F874" s="104"/>
      <c r="G874" s="104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3"/>
      <c r="E875" s="104"/>
      <c r="F875" s="104"/>
      <c r="G875" s="104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3"/>
      <c r="E876" s="104"/>
      <c r="F876" s="104"/>
      <c r="G876" s="104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3"/>
      <c r="E877" s="104"/>
      <c r="F877" s="104"/>
      <c r="G877" s="104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3"/>
      <c r="E878" s="104"/>
      <c r="F878" s="104"/>
      <c r="G878" s="104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3"/>
      <c r="E879" s="104"/>
      <c r="F879" s="104"/>
      <c r="G879" s="104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3"/>
      <c r="E880" s="104"/>
      <c r="F880" s="104"/>
      <c r="G880" s="104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3"/>
      <c r="E881" s="104"/>
      <c r="F881" s="104"/>
      <c r="G881" s="104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3"/>
      <c r="E882" s="104"/>
      <c r="F882" s="104"/>
      <c r="G882" s="104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3"/>
      <c r="E883" s="104"/>
      <c r="F883" s="104"/>
      <c r="G883" s="104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3"/>
      <c r="E884" s="104"/>
      <c r="F884" s="104"/>
      <c r="G884" s="104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3"/>
      <c r="E885" s="104"/>
      <c r="F885" s="104"/>
      <c r="G885" s="104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3"/>
      <c r="E886" s="104"/>
      <c r="F886" s="104"/>
      <c r="G886" s="104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3"/>
      <c r="E887" s="104"/>
      <c r="F887" s="104"/>
      <c r="G887" s="104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3"/>
      <c r="E888" s="104"/>
      <c r="F888" s="104"/>
      <c r="G888" s="104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3"/>
      <c r="E889" s="104"/>
      <c r="F889" s="104"/>
      <c r="G889" s="104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3"/>
      <c r="E890" s="104"/>
      <c r="F890" s="104"/>
      <c r="G890" s="104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3"/>
      <c r="E891" s="104"/>
      <c r="F891" s="104"/>
      <c r="G891" s="104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3"/>
      <c r="E892" s="104"/>
      <c r="F892" s="104"/>
      <c r="G892" s="104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3"/>
      <c r="E893" s="104"/>
      <c r="F893" s="104"/>
      <c r="G893" s="104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3"/>
      <c r="E894" s="104"/>
      <c r="F894" s="104"/>
      <c r="G894" s="104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3"/>
      <c r="E895" s="104"/>
      <c r="F895" s="104"/>
      <c r="G895" s="104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3"/>
      <c r="E896" s="104"/>
      <c r="F896" s="104"/>
      <c r="G896" s="104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3"/>
      <c r="E897" s="104"/>
      <c r="F897" s="104"/>
      <c r="G897" s="104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3"/>
      <c r="E898" s="104"/>
      <c r="F898" s="104"/>
      <c r="G898" s="104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3"/>
      <c r="E899" s="104"/>
      <c r="F899" s="104"/>
      <c r="G899" s="104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3"/>
      <c r="E900" s="104"/>
      <c r="F900" s="104"/>
      <c r="G900" s="104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3"/>
      <c r="E901" s="104"/>
      <c r="F901" s="104"/>
      <c r="G901" s="104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3"/>
      <c r="E902" s="104"/>
      <c r="F902" s="104"/>
      <c r="G902" s="104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3"/>
      <c r="E903" s="104"/>
      <c r="F903" s="104"/>
      <c r="G903" s="104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3"/>
      <c r="E904" s="104"/>
      <c r="F904" s="104"/>
      <c r="G904" s="104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3"/>
      <c r="E905" s="104"/>
      <c r="F905" s="104"/>
      <c r="G905" s="104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3"/>
      <c r="E906" s="104"/>
      <c r="F906" s="104"/>
      <c r="G906" s="104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3"/>
      <c r="E907" s="104"/>
      <c r="F907" s="104"/>
      <c r="G907" s="104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3"/>
      <c r="E908" s="104"/>
      <c r="F908" s="104"/>
      <c r="G908" s="104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3"/>
      <c r="E909" s="104"/>
      <c r="F909" s="104"/>
      <c r="G909" s="104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3"/>
      <c r="E910" s="104"/>
      <c r="F910" s="104"/>
      <c r="G910" s="104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3"/>
      <c r="E911" s="104"/>
      <c r="F911" s="104"/>
      <c r="G911" s="104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3"/>
      <c r="E912" s="104"/>
      <c r="F912" s="104"/>
      <c r="G912" s="104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3"/>
      <c r="E913" s="104"/>
      <c r="F913" s="104"/>
      <c r="G913" s="104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3"/>
      <c r="E914" s="104"/>
      <c r="F914" s="104"/>
      <c r="G914" s="104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3"/>
      <c r="E915" s="104"/>
      <c r="F915" s="104"/>
      <c r="G915" s="104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3"/>
      <c r="E916" s="104"/>
      <c r="F916" s="104"/>
      <c r="G916" s="104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3"/>
      <c r="E917" s="104"/>
      <c r="F917" s="104"/>
      <c r="G917" s="104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3"/>
      <c r="E918" s="104"/>
      <c r="F918" s="104"/>
      <c r="G918" s="104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3"/>
      <c r="E919" s="104"/>
      <c r="F919" s="104"/>
      <c r="G919" s="104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3"/>
      <c r="E920" s="104"/>
      <c r="F920" s="104"/>
      <c r="G920" s="104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3"/>
      <c r="E921" s="104"/>
      <c r="F921" s="104"/>
      <c r="G921" s="104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3"/>
      <c r="E922" s="104"/>
      <c r="F922" s="104"/>
      <c r="G922" s="104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3"/>
      <c r="E923" s="104"/>
      <c r="F923" s="104"/>
      <c r="G923" s="104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3"/>
      <c r="E924" s="104"/>
      <c r="F924" s="104"/>
      <c r="G924" s="104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3"/>
      <c r="E925" s="104"/>
      <c r="F925" s="104"/>
      <c r="G925" s="104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3"/>
      <c r="E926" s="104"/>
      <c r="F926" s="104"/>
      <c r="G926" s="104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3"/>
      <c r="E927" s="104"/>
      <c r="F927" s="104"/>
      <c r="G927" s="104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3"/>
      <c r="E928" s="104"/>
      <c r="F928" s="104"/>
      <c r="G928" s="104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3"/>
      <c r="E929" s="104"/>
      <c r="F929" s="104"/>
      <c r="G929" s="104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3"/>
      <c r="E930" s="104"/>
      <c r="F930" s="104"/>
      <c r="G930" s="104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3"/>
      <c r="E931" s="104"/>
      <c r="F931" s="104"/>
      <c r="G931" s="104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3"/>
      <c r="E932" s="104"/>
      <c r="F932" s="104"/>
      <c r="G932" s="104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3"/>
      <c r="E933" s="104"/>
      <c r="F933" s="104"/>
      <c r="G933" s="104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3"/>
      <c r="E934" s="104"/>
      <c r="F934" s="104"/>
      <c r="G934" s="104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3"/>
      <c r="E935" s="104"/>
      <c r="F935" s="104"/>
      <c r="G935" s="104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3"/>
      <c r="E936" s="104"/>
      <c r="F936" s="104"/>
      <c r="G936" s="104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3"/>
      <c r="E937" s="104"/>
      <c r="F937" s="104"/>
      <c r="G937" s="104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3"/>
      <c r="E938" s="104"/>
      <c r="F938" s="104"/>
      <c r="G938" s="104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3"/>
      <c r="E939" s="104"/>
      <c r="F939" s="104"/>
      <c r="G939" s="104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3"/>
      <c r="E940" s="104"/>
      <c r="F940" s="104"/>
      <c r="G940" s="104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3"/>
      <c r="E941" s="104"/>
      <c r="F941" s="104"/>
      <c r="G941" s="104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3"/>
      <c r="E942" s="104"/>
      <c r="F942" s="104"/>
      <c r="G942" s="104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3"/>
      <c r="E943" s="104"/>
      <c r="F943" s="104"/>
      <c r="G943" s="104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3"/>
      <c r="E944" s="104"/>
      <c r="F944" s="104"/>
      <c r="G944" s="104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3"/>
      <c r="E945" s="104"/>
      <c r="F945" s="104"/>
      <c r="G945" s="104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3"/>
      <c r="E946" s="104"/>
      <c r="F946" s="104"/>
      <c r="G946" s="104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3"/>
      <c r="E947" s="104"/>
      <c r="F947" s="104"/>
      <c r="G947" s="104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3"/>
      <c r="E948" s="104"/>
      <c r="F948" s="104"/>
      <c r="G948" s="104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3"/>
      <c r="E949" s="104"/>
      <c r="F949" s="104"/>
      <c r="G949" s="104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3"/>
      <c r="E950" s="104"/>
      <c r="F950" s="104"/>
      <c r="G950" s="104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3"/>
      <c r="E951" s="104"/>
      <c r="F951" s="104"/>
      <c r="G951" s="104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3"/>
      <c r="E952" s="104"/>
      <c r="F952" s="104"/>
      <c r="G952" s="104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3"/>
      <c r="E953" s="104"/>
      <c r="F953" s="104"/>
      <c r="G953" s="104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3"/>
      <c r="E954" s="104"/>
      <c r="F954" s="104"/>
      <c r="G954" s="104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3"/>
      <c r="E955" s="104"/>
      <c r="F955" s="104"/>
      <c r="G955" s="104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3"/>
      <c r="E956" s="104"/>
      <c r="F956" s="104"/>
      <c r="G956" s="104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3"/>
      <c r="E957" s="104"/>
      <c r="F957" s="104"/>
      <c r="G957" s="104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3"/>
      <c r="E958" s="104"/>
      <c r="F958" s="104"/>
      <c r="G958" s="104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3"/>
      <c r="E959" s="104"/>
      <c r="F959" s="104"/>
      <c r="G959" s="104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3"/>
      <c r="E960" s="104"/>
      <c r="F960" s="104"/>
      <c r="G960" s="104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3"/>
      <c r="E961" s="104"/>
      <c r="F961" s="104"/>
      <c r="G961" s="104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3"/>
      <c r="E962" s="104"/>
      <c r="F962" s="104"/>
      <c r="G962" s="104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3"/>
      <c r="E963" s="104"/>
      <c r="F963" s="104"/>
      <c r="G963" s="104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3"/>
      <c r="E964" s="104"/>
      <c r="F964" s="104"/>
      <c r="G964" s="104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3"/>
      <c r="E965" s="104"/>
      <c r="F965" s="104"/>
      <c r="G965" s="104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3"/>
      <c r="E966" s="104"/>
      <c r="F966" s="104"/>
      <c r="G966" s="104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3"/>
      <c r="E967" s="104"/>
      <c r="F967" s="104"/>
      <c r="G967" s="104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3"/>
      <c r="E968" s="104"/>
      <c r="F968" s="104"/>
      <c r="G968" s="104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3"/>
      <c r="E969" s="104"/>
      <c r="F969" s="104"/>
      <c r="G969" s="104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3"/>
      <c r="E970" s="104"/>
      <c r="F970" s="104"/>
      <c r="G970" s="104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3"/>
      <c r="E971" s="104"/>
      <c r="F971" s="104"/>
      <c r="G971" s="104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3"/>
      <c r="E972" s="104"/>
      <c r="F972" s="104"/>
      <c r="G972" s="104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3"/>
      <c r="E973" s="104"/>
      <c r="F973" s="104"/>
      <c r="G973" s="104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3"/>
      <c r="E974" s="104"/>
      <c r="F974" s="104"/>
      <c r="G974" s="104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3"/>
      <c r="E975" s="104"/>
      <c r="F975" s="104"/>
      <c r="G975" s="104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3"/>
      <c r="E976" s="104"/>
      <c r="F976" s="104"/>
      <c r="G976" s="104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3"/>
      <c r="E977" s="104"/>
      <c r="F977" s="104"/>
      <c r="G977" s="104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3"/>
      <c r="E978" s="104"/>
      <c r="F978" s="104"/>
      <c r="G978" s="104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168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169</v>
      </c>
      <c r="B4" s="119" t="s">
        <v>170</v>
      </c>
      <c r="C4" s="120" t="s">
        <v>171</v>
      </c>
      <c r="D4" s="120" t="s">
        <v>172</v>
      </c>
      <c r="E4" s="121" t="s">
        <v>173</v>
      </c>
      <c r="F4" s="121" t="s">
        <v>174</v>
      </c>
      <c r="G4" s="121" t="s">
        <v>175</v>
      </c>
      <c r="H4" s="121" t="s">
        <v>176</v>
      </c>
      <c r="I4" s="121" t="s">
        <v>177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178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179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180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181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182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183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184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185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186</v>
      </c>
      <c r="C15" s="128" t="b">
        <v>0</v>
      </c>
      <c r="D15" s="131">
        <v>10.0</v>
      </c>
      <c r="E15" s="130" t="s">
        <v>187</v>
      </c>
      <c r="F15" s="130" t="s">
        <v>188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189</v>
      </c>
      <c r="C16" s="128" t="b">
        <v>0</v>
      </c>
      <c r="D16" s="131">
        <v>10.0</v>
      </c>
      <c r="E16" s="130" t="s">
        <v>190</v>
      </c>
      <c r="F16" s="130" t="s">
        <v>191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192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193</v>
      </c>
      <c r="C19" s="128" t="b">
        <v>0</v>
      </c>
      <c r="D19" s="131">
        <v>10.0</v>
      </c>
      <c r="E19" s="130" t="s">
        <v>194</v>
      </c>
      <c r="F19" s="130" t="s">
        <v>195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196</v>
      </c>
      <c r="C20" s="128" t="b">
        <v>0</v>
      </c>
      <c r="D20" s="131">
        <v>10.0</v>
      </c>
      <c r="E20" s="130" t="s">
        <v>197</v>
      </c>
      <c r="F20" s="130" t="s">
        <v>198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199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200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201</v>
      </c>
      <c r="C24" s="128" t="b">
        <v>0</v>
      </c>
      <c r="D24" s="131">
        <v>10.0</v>
      </c>
      <c r="E24" s="130" t="s">
        <v>202</v>
      </c>
      <c r="F24" s="130" t="s">
        <v>203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204</v>
      </c>
      <c r="C25" s="128" t="b">
        <v>0</v>
      </c>
      <c r="D25" s="131">
        <v>10.0</v>
      </c>
      <c r="E25" s="130" t="s">
        <v>205</v>
      </c>
      <c r="F25" s="130" t="s">
        <v>206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207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208</v>
      </c>
      <c r="C28" s="128" t="b">
        <v>0</v>
      </c>
      <c r="D28" s="131">
        <v>10.0</v>
      </c>
      <c r="E28" s="130" t="s">
        <v>209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210</v>
      </c>
      <c r="C29" s="128" t="b">
        <v>0</v>
      </c>
      <c r="D29" s="131">
        <v>10.0</v>
      </c>
      <c r="E29" s="130" t="s">
        <v>211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212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213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214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215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216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217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218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219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220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221</v>
      </c>
      <c r="C43" s="128" t="b">
        <v>0</v>
      </c>
      <c r="D43" s="131">
        <v>20.0</v>
      </c>
      <c r="E43" s="139" t="s">
        <v>222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223</v>
      </c>
      <c r="C44" s="128" t="b">
        <v>0</v>
      </c>
      <c r="D44" s="131">
        <v>20.0</v>
      </c>
      <c r="E44" s="130" t="s">
        <v>224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225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226</v>
      </c>
      <c r="C47" s="128" t="b">
        <v>0</v>
      </c>
      <c r="D47" s="131">
        <v>20.0</v>
      </c>
      <c r="E47" s="130" t="s">
        <v>227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228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229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230</v>
      </c>
      <c r="C51" s="128" t="b">
        <v>0</v>
      </c>
      <c r="D51" s="131">
        <v>20.0</v>
      </c>
      <c r="E51" s="130" t="s">
        <v>231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232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233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234</v>
      </c>
      <c r="C55" s="128" t="b">
        <v>0</v>
      </c>
      <c r="D55" s="131">
        <v>20.0</v>
      </c>
      <c r="E55" s="130" t="s">
        <v>235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236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74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237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238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239</v>
      </c>
      <c r="C62" s="128" t="b">
        <v>0</v>
      </c>
      <c r="D62" s="131">
        <v>30.0</v>
      </c>
      <c r="E62" s="130" t="s">
        <v>240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241</v>
      </c>
      <c r="C63" s="128" t="b">
        <v>0</v>
      </c>
      <c r="D63" s="131">
        <v>30.0</v>
      </c>
      <c r="E63" s="130" t="s">
        <v>242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243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244</v>
      </c>
      <c r="C66" s="128" t="b">
        <v>0</v>
      </c>
      <c r="D66" s="131">
        <v>30.0</v>
      </c>
      <c r="E66" s="130" t="s">
        <v>245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246</v>
      </c>
      <c r="C67" s="128" t="b">
        <v>0</v>
      </c>
      <c r="D67" s="131">
        <v>30.0</v>
      </c>
      <c r="E67" s="130" t="s">
        <v>247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248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249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250</v>
      </c>
      <c r="C71" s="128" t="b">
        <v>0</v>
      </c>
      <c r="D71" s="131">
        <v>30.0</v>
      </c>
      <c r="E71" s="130" t="s">
        <v>251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252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253</v>
      </c>
      <c r="C74" s="128" t="b">
        <v>0</v>
      </c>
      <c r="D74" s="131">
        <v>30.0</v>
      </c>
      <c r="E74" s="139" t="s">
        <v>254</v>
      </c>
      <c r="F74" s="122"/>
      <c r="G74" s="122"/>
      <c r="H74" s="122"/>
      <c r="I74" s="130" t="s">
        <v>255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256</v>
      </c>
      <c r="C75" s="128" t="b">
        <v>0</v>
      </c>
      <c r="D75" s="131">
        <v>30.0</v>
      </c>
      <c r="E75" s="130" t="s">
        <v>257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258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259</v>
      </c>
      <c r="C78" s="128" t="b">
        <v>0</v>
      </c>
      <c r="D78" s="131">
        <v>30.0</v>
      </c>
      <c r="E78" s="130" t="s">
        <v>260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261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262</v>
      </c>
      <c r="B81" s="144" t="s">
        <v>263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264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265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266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267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268</v>
      </c>
      <c r="C87" s="148"/>
      <c r="D87" s="149" t="s">
        <v>269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270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271</v>
      </c>
      <c r="B3" s="155" t="s">
        <v>272</v>
      </c>
      <c r="C3" s="155" t="s">
        <v>273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274</v>
      </c>
      <c r="B4" s="156" t="s">
        <v>275</v>
      </c>
      <c r="C4" s="156" t="s">
        <v>276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277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278</v>
      </c>
      <c r="B6" s="156" t="s">
        <v>279</v>
      </c>
      <c r="C6" s="156" t="s">
        <v>276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280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281</v>
      </c>
      <c r="B8" s="158" t="s">
        <v>282</v>
      </c>
      <c r="C8" s="158" t="s">
        <v>276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283</v>
      </c>
      <c r="B9" s="160"/>
      <c r="C9" s="159" t="s">
        <v>276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284</v>
      </c>
    </row>
    <row r="3">
      <c r="B3" s="162" t="s">
        <v>285</v>
      </c>
      <c r="C3" s="162" t="s">
        <v>286</v>
      </c>
      <c r="D3" s="163" t="s">
        <v>287</v>
      </c>
      <c r="E3" s="163" t="s">
        <v>288</v>
      </c>
    </row>
    <row r="4">
      <c r="B4" s="164">
        <v>1.0</v>
      </c>
      <c r="C4" s="165" t="s">
        <v>289</v>
      </c>
      <c r="D4" s="166" t="s">
        <v>290</v>
      </c>
      <c r="E4" s="167" t="s">
        <v>291</v>
      </c>
    </row>
    <row r="5">
      <c r="B5" s="168"/>
      <c r="C5" s="168"/>
      <c r="D5" s="166" t="s">
        <v>292</v>
      </c>
      <c r="E5" s="166" t="s">
        <v>293</v>
      </c>
    </row>
    <row r="6">
      <c r="B6" s="168"/>
      <c r="C6" s="168"/>
      <c r="D6" s="166" t="s">
        <v>294</v>
      </c>
      <c r="E6" s="166" t="s">
        <v>295</v>
      </c>
    </row>
    <row r="7">
      <c r="B7" s="168"/>
      <c r="C7" s="168"/>
      <c r="D7" s="166" t="s">
        <v>296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174</v>
      </c>
      <c r="D13" s="166" t="s">
        <v>297</v>
      </c>
      <c r="E13" s="166" t="s">
        <v>298</v>
      </c>
    </row>
    <row r="14">
      <c r="B14" s="168"/>
      <c r="C14" s="168"/>
      <c r="D14" s="166" t="s">
        <v>299</v>
      </c>
      <c r="E14" s="166" t="s">
        <v>300</v>
      </c>
    </row>
    <row r="15">
      <c r="B15" s="168"/>
      <c r="C15" s="168"/>
      <c r="D15" s="166" t="s">
        <v>301</v>
      </c>
      <c r="E15" s="166" t="s">
        <v>302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175</v>
      </c>
      <c r="D22" s="166" t="s">
        <v>303</v>
      </c>
      <c r="E22" s="166" t="s">
        <v>304</v>
      </c>
      <c r="H22" s="171"/>
    </row>
    <row r="23" ht="15.75" customHeight="1">
      <c r="B23" s="168"/>
      <c r="C23" s="168"/>
      <c r="D23" s="166" t="s">
        <v>305</v>
      </c>
      <c r="E23" s="166" t="s">
        <v>306</v>
      </c>
      <c r="H23" s="171"/>
    </row>
    <row r="24" ht="15.75" customHeight="1">
      <c r="B24" s="168"/>
      <c r="C24" s="168"/>
      <c r="D24" s="166" t="s">
        <v>307</v>
      </c>
      <c r="E24" s="166" t="s">
        <v>308</v>
      </c>
      <c r="H24" s="171"/>
    </row>
    <row r="25" ht="15.75" customHeight="1">
      <c r="B25" s="168"/>
      <c r="C25" s="168"/>
      <c r="D25" s="166"/>
      <c r="E25" s="166" t="s">
        <v>309</v>
      </c>
      <c r="H25" s="171"/>
    </row>
    <row r="26" ht="15.75" customHeight="1">
      <c r="B26" s="168"/>
      <c r="C26" s="168"/>
      <c r="D26" s="166"/>
      <c r="E26" s="166" t="s">
        <v>310</v>
      </c>
      <c r="H26" s="171"/>
    </row>
    <row r="27" ht="15.75" customHeight="1">
      <c r="B27" s="168"/>
      <c r="C27" s="168"/>
      <c r="D27" s="166"/>
      <c r="E27" s="166" t="s">
        <v>311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176</v>
      </c>
      <c r="D36" s="166" t="s">
        <v>312</v>
      </c>
      <c r="E36" s="166" t="s">
        <v>313</v>
      </c>
    </row>
    <row r="37" ht="15.75" customHeight="1">
      <c r="B37" s="168"/>
      <c r="C37" s="168"/>
      <c r="D37" s="166" t="s">
        <v>314</v>
      </c>
      <c r="E37" s="166" t="s">
        <v>315</v>
      </c>
    </row>
    <row r="38" ht="15.75" customHeight="1">
      <c r="B38" s="168"/>
      <c r="C38" s="168"/>
      <c r="D38" s="166" t="s">
        <v>316</v>
      </c>
      <c r="E38" s="166" t="s">
        <v>317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177</v>
      </c>
      <c r="D45" s="166" t="s">
        <v>318</v>
      </c>
      <c r="E45" s="166" t="s">
        <v>319</v>
      </c>
    </row>
    <row r="46" ht="15.75" customHeight="1">
      <c r="B46" s="168"/>
      <c r="C46" s="168"/>
      <c r="D46" s="166" t="s">
        <v>320</v>
      </c>
      <c r="E46" s="166" t="s">
        <v>321</v>
      </c>
    </row>
    <row r="47" ht="15.75" customHeight="1">
      <c r="B47" s="168"/>
      <c r="C47" s="168"/>
      <c r="D47" s="166"/>
      <c r="E47" s="166" t="s">
        <v>317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