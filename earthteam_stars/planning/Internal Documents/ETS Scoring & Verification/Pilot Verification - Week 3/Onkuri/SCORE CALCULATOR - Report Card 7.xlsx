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SM7vf2Esq6O9tsQdTaR2ZqSpI548NNnkVszdbaTUb/Y="/>
    </ext>
  </extLst>
</workbook>
</file>

<file path=xl/sharedStrings.xml><?xml version="1.0" encoding="utf-8"?>
<sst xmlns="http://schemas.openxmlformats.org/spreadsheetml/2006/main" count="605" uniqueCount="366">
  <si>
    <t>SCORE CALCULATOR</t>
  </si>
  <si>
    <t>Report Card 7 - Real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</si>
  <si>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</si>
  <si>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</si>
  <si>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</si>
  <si>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</si>
  <si>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</si>
  <si>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</si>
  <si>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</si>
  <si>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</si>
  <si>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</si>
  <si>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</si>
  <si>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</si>
  <si>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</si>
  <si>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</si>
  <si>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</si>
  <si>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</si>
  <si>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</si>
  <si>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</si>
  <si>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</si>
  <si>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</si>
  <si>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</si>
  <si>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</si>
  <si>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</si>
  <si>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</si>
  <si>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</si>
  <si>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</si>
  <si>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</si>
  <si>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</si>
  <si>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</si>
  <si>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</si>
  <si>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</si>
  <si>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</si>
  <si>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NO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</si>
  <si>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</si>
  <si>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</si>
  <si>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</si>
  <si>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</si>
  <si>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</si>
  <si>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</si>
  <si>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</si>
  <si>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</si>
  <si>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</si>
  <si>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 xml:space="preserve">Targets defined </t>
  </si>
  <si>
    <t>Clear definition provided of goal of action. Examples: species covered, threat addressed, geography, or beneficiary group</t>
  </si>
  <si>
    <t>2.1.2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</si>
  <si>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</si>
  <si>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</si>
  <si>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</si>
  <si>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</si>
  <si>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</si>
  <si>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</si>
  <si>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</si>
  <si>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</si>
  <si>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</si>
  <si>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</si>
  <si>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</si>
  <si>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</si>
  <si>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</si>
  <si>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</si>
  <si>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</si>
  <si>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</si>
  <si>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</si>
  <si>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</si>
  <si>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</si>
  <si>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</si>
  <si>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</si>
  <si>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</si>
  <si>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</si>
  <si>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</si>
  <si>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</si>
  <si>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</si>
  <si>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</si>
  <si>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</si>
  <si>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</si>
  <si>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</si>
  <si>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</si>
  <si>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</si>
  <si>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</si>
  <si>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</si>
  <si>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</si>
  <si>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</si>
  <si>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</si>
  <si>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</si>
  <si>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</si>
  <si>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</si>
  <si>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</si>
  <si>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>Additionality (Extra Benefits)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</si>
  <si>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</si>
  <si>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</si>
  <si>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</si>
  <si>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</si>
  <si>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</si>
  <si>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</si>
  <si>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</si>
  <si>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</si>
  <si>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</si>
  <si>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</si>
  <si>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</si>
  <si>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</si>
  <si>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</si>
  <si>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</si>
  <si>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</si>
  <si>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</si>
  <si>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</si>
  <si>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</si>
  <si>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</si>
  <si>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</si>
  <si>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</si>
  <si>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</si>
  <si>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</si>
  <si>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</si>
  <si>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</si>
  <si>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</si>
  <si>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</si>
  <si>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events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</si>
  <si>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</si>
  <si>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</si>
  <si>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</si>
  <si>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</si>
  <si>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Number of consumers/participants committed to not buying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</si>
  <si>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</si>
  <si>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</si>
  <si>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</si>
  <si>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</si>
  <si>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</si>
  <si>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</si>
  <si>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</si>
  <si>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</si>
  <si>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</si>
  <si>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</si>
  <si>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</si>
  <si>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</si>
  <si>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</si>
  <si>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</si>
  <si>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</si>
  <si>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</si>
  <si>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</si>
  <si>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</si>
  <si>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</si>
  <si>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</si>
  <si>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</si>
  <si>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</si>
  <si>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</si>
  <si>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</si>
  <si>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</si>
  <si>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</si>
  <si>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</si>
  <si>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</si>
  <si>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</si>
  <si>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</si>
  <si>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</si>
  <si>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</si>
  <si>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</si>
  <si>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</si>
  <si>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</si>
  <si>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</si>
  <si>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 xml:space="preserve">Seizures of contraband or wildlife products or specimens (volume/value) 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</si>
  <si>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</si>
  <si>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</si>
  <si>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</si>
  <si>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</si>
  <si>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</si>
  <si>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</si>
  <si>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</si>
  <si>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</si>
  <si>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</si>
  <si>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</si>
  <si>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</si>
  <si>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</si>
  <si>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</si>
  <si>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</si>
  <si>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</si>
  <si>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</si>
  <si>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</si>
  <si>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</si>
  <si>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</si>
  <si>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</si>
  <si>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</si>
  <si>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</si>
  <si>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t>Number of farmers benefitted from regerative practices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</si>
  <si>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</si>
  <si>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</si>
  <si>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</si>
  <si>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</si>
  <si>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</si>
  <si>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% Positive change in farmer income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</si>
  <si>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</si>
  <si>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</si>
  <si>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</si>
  <si>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</si>
  <si>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</si>
  <si>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</si>
  <si>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</si>
  <si>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</si>
  <si>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</si>
  <si>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</si>
  <si>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protection, improved or enriched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</si>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</sst>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0" fontId="9" numFmtId="0" xfId="0" applyFont="1"/>
    <xf borderId="0" fillId="0" fontId="9" numFmtId="0" xfId="0" applyAlignment="1" applyFont="1">
      <alignment horizontal="center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17" fontId="8" numFmtId="0" xfId="0" applyAlignment="1" applyFont="1">
      <alignment horizontal="center" readingOrder="0"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3AC6krstTawSBhSgqJY-NRruT2UFvnt9raYMzC61HqE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33</v>
      </c>
      <c r="E14" s="34">
        <f>if(D14="YES",10,0)</f>
        <v>0</v>
      </c>
      <c r="F14" s="35" t="s">
        <v>34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35</v>
      </c>
      <c r="B15" s="31" t="s">
        <v>36</v>
      </c>
      <c r="C15" s="32" t="s">
        <v>37</v>
      </c>
      <c r="D15" s="33" t="s">
        <v>33</v>
      </c>
      <c r="E15" s="34">
        <f>if(D15="YES",5,0)</f>
        <v>0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6"/>
      <c r="C16" s="36"/>
      <c r="D16" s="37"/>
      <c r="E16" s="38">
        <f>SUM(E12:E15)</f>
        <v>6</v>
      </c>
      <c r="F16" s="39" t="s">
        <v>38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0">
        <v>2.0</v>
      </c>
      <c r="B17" s="41" t="s">
        <v>39</v>
      </c>
      <c r="C17" s="20"/>
      <c r="D17" s="42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3">
        <v>2.1</v>
      </c>
      <c r="B18" s="44" t="s">
        <v>40</v>
      </c>
      <c r="C18" s="44" t="s">
        <v>41</v>
      </c>
      <c r="D18" s="45" t="s">
        <v>18</v>
      </c>
      <c r="E18" s="46" t="s">
        <v>19</v>
      </c>
      <c r="F18" s="47" t="s">
        <v>20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16" t="s">
        <v>42</v>
      </c>
      <c r="B19" s="49" t="s">
        <v>43</v>
      </c>
      <c r="C19" s="49" t="s">
        <v>44</v>
      </c>
      <c r="D19" s="33" t="s">
        <v>24</v>
      </c>
      <c r="E19" s="34">
        <f>if(D19="YES",5,0)</f>
        <v>5</v>
      </c>
      <c r="F19" s="35" t="s">
        <v>29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16" t="s">
        <v>45</v>
      </c>
      <c r="B20" s="50" t="s">
        <v>46</v>
      </c>
      <c r="C20" s="50" t="s">
        <v>47</v>
      </c>
      <c r="D20" s="51" t="s">
        <v>48</v>
      </c>
      <c r="E20" s="52">
        <f>SUM('DETAILED CALCULCATIONS'!G9+'DETAILED CALCULCATIONS'!G34+'DETAILED CALCULCATIONS'!G56+'DETAILED CALCULCATIONS'!G79+'DETAILED CALCULCATIONS'!G104)</f>
        <v>825</v>
      </c>
      <c r="F20" s="53" t="s">
        <v>49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16" t="s">
        <v>50</v>
      </c>
      <c r="B21" s="49" t="s">
        <v>51</v>
      </c>
      <c r="C21" s="49" t="s">
        <v>52</v>
      </c>
      <c r="D21" s="33" t="s">
        <v>24</v>
      </c>
      <c r="E21" s="34">
        <f t="shared" ref="E21:E23" si="1">if(D21="YES",5,0)</f>
        <v>5</v>
      </c>
      <c r="F21" s="35" t="s">
        <v>29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16" t="s">
        <v>53</v>
      </c>
      <c r="B22" s="49" t="s">
        <v>54</v>
      </c>
      <c r="C22" s="49" t="s">
        <v>55</v>
      </c>
      <c r="D22" s="33" t="s">
        <v>33</v>
      </c>
      <c r="E22" s="34">
        <f t="shared" si="1"/>
        <v>0</v>
      </c>
      <c r="F22" s="35" t="s">
        <v>29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16" t="s">
        <v>56</v>
      </c>
      <c r="B23" s="49" t="s">
        <v>57</v>
      </c>
      <c r="C23" s="49" t="s">
        <v>58</v>
      </c>
      <c r="D23" s="33" t="s">
        <v>33</v>
      </c>
      <c r="E23" s="34">
        <f t="shared" si="1"/>
        <v>0</v>
      </c>
      <c r="F23" s="35" t="s">
        <v>29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8.75" customHeight="1">
      <c r="A24" s="1"/>
      <c r="B24" s="54"/>
      <c r="C24" s="55"/>
      <c r="D24" s="37"/>
      <c r="E24" s="56">
        <f>SUM(E19:E23)</f>
        <v>835</v>
      </c>
      <c r="F24" s="39" t="s">
        <v>38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8.75" customHeight="1">
      <c r="A25" s="43">
        <v>2.2</v>
      </c>
      <c r="B25" s="44" t="s">
        <v>59</v>
      </c>
      <c r="C25" s="44" t="s">
        <v>41</v>
      </c>
      <c r="D25" s="45" t="s">
        <v>18</v>
      </c>
      <c r="E25" s="46" t="s">
        <v>19</v>
      </c>
      <c r="F25" s="47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60</v>
      </c>
      <c r="B26" s="49" t="s">
        <v>61</v>
      </c>
      <c r="C26" s="49" t="s">
        <v>62</v>
      </c>
      <c r="D26" s="51" t="s">
        <v>48</v>
      </c>
      <c r="E26" s="52">
        <f>SUM('DETAILED CALCULCATIONS'!G16+'DETAILED CALCULCATIONS'!G40+'DETAILED CALCULCATIONS'!G64+'DETAILED CALCULCATIONS'!G89+'DETAILED CALCULCATIONS'!G111)</f>
        <v>0</v>
      </c>
      <c r="F26" s="53" t="s">
        <v>49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16" t="s">
        <v>63</v>
      </c>
      <c r="B27" s="49" t="s">
        <v>64</v>
      </c>
      <c r="C27" s="49" t="s">
        <v>65</v>
      </c>
      <c r="D27" s="33" t="s">
        <v>24</v>
      </c>
      <c r="E27" s="34">
        <f t="shared" ref="E27:E31" si="2">if(D27="YES",5,0)</f>
        <v>5</v>
      </c>
      <c r="F27" s="35" t="s">
        <v>29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16" t="s">
        <v>66</v>
      </c>
      <c r="B28" s="49" t="s">
        <v>67</v>
      </c>
      <c r="C28" s="49" t="s">
        <v>68</v>
      </c>
      <c r="D28" s="33" t="s">
        <v>24</v>
      </c>
      <c r="E28" s="34">
        <f t="shared" si="2"/>
        <v>5</v>
      </c>
      <c r="F28" s="35" t="s">
        <v>29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16" t="s">
        <v>69</v>
      </c>
      <c r="B29" s="49" t="s">
        <v>70</v>
      </c>
      <c r="C29" s="49" t="s">
        <v>71</v>
      </c>
      <c r="D29" s="33" t="s">
        <v>24</v>
      </c>
      <c r="E29" s="34">
        <f t="shared" si="2"/>
        <v>5</v>
      </c>
      <c r="F29" s="35" t="s">
        <v>29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16" t="s">
        <v>72</v>
      </c>
      <c r="B30" s="49" t="s">
        <v>73</v>
      </c>
      <c r="C30" s="49" t="s">
        <v>74</v>
      </c>
      <c r="D30" s="33" t="s">
        <v>33</v>
      </c>
      <c r="E30" s="34">
        <f t="shared" si="2"/>
        <v>0</v>
      </c>
      <c r="F30" s="35" t="s">
        <v>29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16" t="s">
        <v>75</v>
      </c>
      <c r="B31" s="49" t="s">
        <v>76</v>
      </c>
      <c r="C31" s="49" t="s">
        <v>77</v>
      </c>
      <c r="D31" s="33" t="s">
        <v>24</v>
      </c>
      <c r="E31" s="34">
        <f t="shared" si="2"/>
        <v>5</v>
      </c>
      <c r="F31" s="35" t="s">
        <v>29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8.75" customHeight="1">
      <c r="A32" s="1"/>
      <c r="B32" s="6"/>
      <c r="C32" s="55"/>
      <c r="D32" s="37"/>
      <c r="E32" s="38">
        <f>SUM(E26:E31)</f>
        <v>20</v>
      </c>
      <c r="F32" s="39" t="s">
        <v>38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7">
        <v>3.0</v>
      </c>
      <c r="B33" s="58" t="s">
        <v>78</v>
      </c>
      <c r="C33" s="20"/>
      <c r="D33" s="42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59">
        <v>3.1</v>
      </c>
      <c r="B34" s="60" t="s">
        <v>79</v>
      </c>
      <c r="C34" s="60" t="s">
        <v>41</v>
      </c>
      <c r="D34" s="61" t="s">
        <v>18</v>
      </c>
      <c r="E34" s="62" t="s">
        <v>19</v>
      </c>
      <c r="F34" s="63" t="s">
        <v>20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16" t="s">
        <v>80</v>
      </c>
      <c r="B35" s="49" t="s">
        <v>81</v>
      </c>
      <c r="C35" s="49" t="s">
        <v>82</v>
      </c>
      <c r="D35" s="51" t="s">
        <v>48</v>
      </c>
      <c r="E35" s="52">
        <f>SUM('DETAILED CALCULCATIONS'!G21+'DETAILED CALCULCATIONS'!G46+'DETAILED CALCULCATIONS'!G69+'DETAILED CALCULCATIONS'!G96+'DETAILED CALCULCATIONS'!G118)</f>
        <v>0</v>
      </c>
      <c r="F35" s="53" t="s">
        <v>49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16" t="s">
        <v>83</v>
      </c>
      <c r="B36" s="49" t="s">
        <v>84</v>
      </c>
      <c r="C36" s="54" t="s">
        <v>85</v>
      </c>
      <c r="D36" s="33" t="s">
        <v>33</v>
      </c>
      <c r="E36" s="34">
        <f t="shared" ref="E36:E38" si="3">if(D36="YES",5,0)</f>
        <v>0</v>
      </c>
      <c r="F36" s="35" t="s">
        <v>29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16" t="s">
        <v>86</v>
      </c>
      <c r="B37" s="49" t="s">
        <v>87</v>
      </c>
      <c r="C37" s="49" t="s">
        <v>88</v>
      </c>
      <c r="D37" s="33" t="s">
        <v>24</v>
      </c>
      <c r="E37" s="34">
        <f t="shared" si="3"/>
        <v>5</v>
      </c>
      <c r="F37" s="35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16" t="s">
        <v>89</v>
      </c>
      <c r="B38" s="49" t="s">
        <v>90</v>
      </c>
      <c r="C38" s="49" t="s">
        <v>91</v>
      </c>
      <c r="D38" s="33" t="s">
        <v>24</v>
      </c>
      <c r="E38" s="34">
        <f t="shared" si="3"/>
        <v>5</v>
      </c>
      <c r="F38" s="35" t="s">
        <v>29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8.75" customHeight="1">
      <c r="A39" s="1"/>
      <c r="B39" s="6"/>
      <c r="C39" s="55"/>
      <c r="D39" s="37"/>
      <c r="E39" s="56">
        <f>SUM(E35:E38)</f>
        <v>10</v>
      </c>
      <c r="F39" s="39" t="s">
        <v>38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8.75" customHeight="1">
      <c r="A40" s="64">
        <v>4.0</v>
      </c>
      <c r="B40" s="65" t="s">
        <v>92</v>
      </c>
      <c r="C40" s="55"/>
      <c r="D40" s="66"/>
      <c r="E40" s="67"/>
      <c r="F40" s="67"/>
      <c r="G40" s="67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93</v>
      </c>
      <c r="C41" s="26" t="s">
        <v>17</v>
      </c>
      <c r="D41" s="27" t="s">
        <v>18</v>
      </c>
      <c r="E41" s="28" t="s">
        <v>19</v>
      </c>
      <c r="F41" s="29" t="s">
        <v>20</v>
      </c>
      <c r="G41" s="67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16" t="s">
        <v>94</v>
      </c>
      <c r="B42" s="49" t="s">
        <v>95</v>
      </c>
      <c r="C42" s="49" t="s">
        <v>96</v>
      </c>
      <c r="D42" s="33" t="s">
        <v>33</v>
      </c>
      <c r="E42" s="34">
        <f t="shared" ref="E42:E44" si="4">if(D42="YES",5,0)</f>
        <v>0</v>
      </c>
      <c r="F42" s="35" t="s">
        <v>29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16" t="s">
        <v>97</v>
      </c>
      <c r="B43" s="49" t="s">
        <v>98</v>
      </c>
      <c r="C43" s="49" t="s">
        <v>99</v>
      </c>
      <c r="D43" s="33" t="s">
        <v>33</v>
      </c>
      <c r="E43" s="34">
        <f t="shared" si="4"/>
        <v>0</v>
      </c>
      <c r="F43" s="35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16" t="s">
        <v>100</v>
      </c>
      <c r="B44" s="49" t="s">
        <v>101</v>
      </c>
      <c r="C44" s="54" t="s">
        <v>102</v>
      </c>
      <c r="D44" s="33" t="s">
        <v>33</v>
      </c>
      <c r="E44" s="34">
        <f t="shared" si="4"/>
        <v>0</v>
      </c>
      <c r="F44" s="35" t="s">
        <v>29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8.75" customHeight="1">
      <c r="A45" s="1"/>
      <c r="B45" s="54"/>
      <c r="C45" s="55"/>
      <c r="D45" s="37"/>
      <c r="E45" s="68">
        <f>SUM(E42:E44)</f>
        <v>0</v>
      </c>
      <c r="F45" s="69" t="s">
        <v>38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0.25" customHeight="1">
      <c r="A46" s="70" t="s">
        <v>103</v>
      </c>
      <c r="B46" s="71"/>
      <c r="C46" s="71"/>
      <c r="D46" s="72"/>
      <c r="E46" s="73">
        <f>SUM(E16+E24+E32+E39+E45)</f>
        <v>871</v>
      </c>
      <c r="F46" s="74" t="s">
        <v>104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8"/>
    </row>
    <row r="47" ht="18.75" customHeight="1">
      <c r="A47" s="1"/>
      <c r="B47" s="54"/>
      <c r="C47" s="49"/>
      <c r="D47" s="67"/>
      <c r="E47" s="67"/>
      <c r="F47" s="54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8.75" customHeight="1">
      <c r="A48" s="1"/>
      <c r="B48" s="54"/>
      <c r="C48" s="54"/>
      <c r="D48" s="67"/>
      <c r="E48" s="67"/>
      <c r="F48" s="54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8.75" customHeight="1">
      <c r="A49" s="1"/>
      <c r="B49" s="54"/>
      <c r="C49" s="54"/>
      <c r="D49" s="67"/>
      <c r="E49" s="67"/>
      <c r="F49" s="54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8.75" customHeight="1">
      <c r="A50" s="1"/>
      <c r="B50" s="54"/>
      <c r="C50" s="54"/>
      <c r="D50" s="67"/>
      <c r="E50" s="67"/>
      <c r="F50" s="54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8.75" customHeight="1">
      <c r="A51" s="75"/>
      <c r="B51" s="54"/>
      <c r="C51" s="54"/>
      <c r="D51" s="67"/>
      <c r="E51" s="67"/>
      <c r="F51" s="54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8.75" customHeight="1">
      <c r="A52" s="75"/>
      <c r="B52" s="54"/>
      <c r="C52" s="54"/>
      <c r="D52" s="67"/>
      <c r="E52" s="67"/>
      <c r="F52" s="54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8.75" customHeight="1">
      <c r="A53" s="75"/>
      <c r="B53" s="54"/>
      <c r="C53" s="54"/>
      <c r="D53" s="67"/>
      <c r="E53" s="67"/>
      <c r="F53" s="54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8.75" customHeight="1">
      <c r="A54" s="75"/>
      <c r="B54" s="54"/>
      <c r="C54" s="54"/>
      <c r="D54" s="67"/>
      <c r="E54" s="67"/>
      <c r="F54" s="54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8.75" customHeight="1">
      <c r="A55" s="75"/>
      <c r="B55" s="54"/>
      <c r="C55" s="54"/>
      <c r="D55" s="67"/>
      <c r="E55" s="67"/>
      <c r="F55" s="54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8.75" customHeight="1">
      <c r="A56" s="75"/>
      <c r="B56" s="54"/>
      <c r="C56" s="54"/>
      <c r="D56" s="67"/>
      <c r="E56" s="67"/>
      <c r="F56" s="54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8.75" customHeight="1">
      <c r="A57" s="75"/>
      <c r="B57" s="54"/>
      <c r="C57" s="54"/>
      <c r="D57" s="67"/>
      <c r="E57" s="67"/>
      <c r="F57" s="54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8.75" customHeight="1">
      <c r="A58" s="75"/>
      <c r="B58" s="54"/>
      <c r="C58" s="54"/>
      <c r="D58" s="67"/>
      <c r="E58" s="67"/>
      <c r="F58" s="54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8.75" customHeight="1">
      <c r="A59" s="75"/>
      <c r="B59" s="54"/>
      <c r="C59" s="54"/>
      <c r="D59" s="67"/>
      <c r="E59" s="67"/>
      <c r="F59" s="54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8.75" customHeight="1">
      <c r="A60" s="75"/>
      <c r="B60" s="54"/>
      <c r="C60" s="54"/>
      <c r="D60" s="67"/>
      <c r="E60" s="67"/>
      <c r="F60" s="54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8.75" customHeight="1">
      <c r="A61" s="75"/>
      <c r="B61" s="54"/>
      <c r="C61" s="54"/>
      <c r="D61" s="67"/>
      <c r="E61" s="67"/>
      <c r="F61" s="54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8.75" customHeight="1">
      <c r="A62" s="75"/>
      <c r="B62" s="54"/>
      <c r="C62" s="54"/>
      <c r="D62" s="67"/>
      <c r="E62" s="67"/>
      <c r="F62" s="54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8.75" customHeight="1">
      <c r="A63" s="75"/>
      <c r="B63" s="54"/>
      <c r="C63" s="54"/>
      <c r="D63" s="67"/>
      <c r="E63" s="67"/>
      <c r="F63" s="54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8.75" customHeight="1">
      <c r="A64" s="75"/>
      <c r="B64" s="54"/>
      <c r="C64" s="54"/>
      <c r="D64" s="67"/>
      <c r="E64" s="67"/>
      <c r="F64" s="54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8.75" customHeight="1">
      <c r="A65" s="75"/>
      <c r="B65" s="54"/>
      <c r="C65" s="54"/>
      <c r="D65" s="67"/>
      <c r="E65" s="67"/>
      <c r="F65" s="54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8.75" customHeight="1">
      <c r="A66" s="75"/>
      <c r="B66" s="54"/>
      <c r="C66" s="54"/>
      <c r="D66" s="67"/>
      <c r="E66" s="67"/>
      <c r="F66" s="54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8.75" customHeight="1">
      <c r="A67" s="75"/>
      <c r="B67" s="54"/>
      <c r="C67" s="54"/>
      <c r="D67" s="67"/>
      <c r="E67" s="67"/>
      <c r="F67" s="54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8.75" customHeight="1">
      <c r="A68" s="75"/>
      <c r="B68" s="54"/>
      <c r="C68" s="54"/>
      <c r="D68" s="67"/>
      <c r="E68" s="67"/>
      <c r="F68" s="54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8.75" customHeight="1">
      <c r="A69" s="75"/>
      <c r="B69" s="54"/>
      <c r="C69" s="54"/>
      <c r="D69" s="67"/>
      <c r="E69" s="67"/>
      <c r="F69" s="54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8.75" customHeight="1">
      <c r="A70" s="75"/>
      <c r="B70" s="54"/>
      <c r="C70" s="54"/>
      <c r="D70" s="67"/>
      <c r="E70" s="67"/>
      <c r="F70" s="54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8.75" customHeight="1">
      <c r="A71" s="75"/>
      <c r="B71" s="54"/>
      <c r="C71" s="54"/>
      <c r="D71" s="67"/>
      <c r="E71" s="67"/>
      <c r="F71" s="54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8.75" customHeight="1">
      <c r="A72" s="75"/>
      <c r="B72" s="54"/>
      <c r="C72" s="54"/>
      <c r="D72" s="67"/>
      <c r="E72" s="67"/>
      <c r="F72" s="54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8.75" customHeight="1">
      <c r="A73" s="75"/>
      <c r="B73" s="54"/>
      <c r="C73" s="54"/>
      <c r="D73" s="67"/>
      <c r="E73" s="67"/>
      <c r="F73" s="54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8.75" customHeight="1">
      <c r="A74" s="75"/>
      <c r="B74" s="54"/>
      <c r="C74" s="54"/>
      <c r="D74" s="67"/>
      <c r="E74" s="67"/>
      <c r="F74" s="54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8.75" customHeight="1">
      <c r="A75" s="75"/>
      <c r="B75" s="54"/>
      <c r="C75" s="54"/>
      <c r="D75" s="67"/>
      <c r="E75" s="67"/>
      <c r="F75" s="54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8.75" customHeight="1">
      <c r="A76" s="75"/>
      <c r="B76" s="54"/>
      <c r="C76" s="54"/>
      <c r="D76" s="67"/>
      <c r="E76" s="67"/>
      <c r="F76" s="54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8.75" customHeight="1">
      <c r="A77" s="75"/>
      <c r="B77" s="54"/>
      <c r="C77" s="54"/>
      <c r="D77" s="67"/>
      <c r="E77" s="67"/>
      <c r="F77" s="54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8.75" customHeight="1">
      <c r="A78" s="75"/>
      <c r="B78" s="54"/>
      <c r="C78" s="54"/>
      <c r="D78" s="67"/>
      <c r="E78" s="67"/>
      <c r="F78" s="54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8.75" customHeight="1">
      <c r="A79" s="75"/>
      <c r="B79" s="54"/>
      <c r="C79" s="54"/>
      <c r="D79" s="67"/>
      <c r="E79" s="67"/>
      <c r="F79" s="54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8.75" customHeight="1">
      <c r="A80" s="75"/>
      <c r="B80" s="54"/>
      <c r="C80" s="54"/>
      <c r="D80" s="67"/>
      <c r="E80" s="67"/>
      <c r="F80" s="54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8.75" customHeight="1">
      <c r="A81" s="75"/>
      <c r="B81" s="54"/>
      <c r="C81" s="54"/>
      <c r="D81" s="67"/>
      <c r="E81" s="67"/>
      <c r="F81" s="54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8.75" customHeight="1">
      <c r="A82" s="75"/>
      <c r="B82" s="54"/>
      <c r="C82" s="54"/>
      <c r="D82" s="67"/>
      <c r="E82" s="67"/>
      <c r="F82" s="54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8.75" customHeight="1">
      <c r="A83" s="75"/>
      <c r="B83" s="54"/>
      <c r="C83" s="54"/>
      <c r="D83" s="67"/>
      <c r="E83" s="67"/>
      <c r="F83" s="54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8.75" customHeight="1">
      <c r="A84" s="75"/>
      <c r="B84" s="54"/>
      <c r="C84" s="54"/>
      <c r="D84" s="67"/>
      <c r="E84" s="67"/>
      <c r="F84" s="54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8.75" customHeight="1">
      <c r="A85" s="75"/>
      <c r="B85" s="54"/>
      <c r="C85" s="54"/>
      <c r="D85" s="67"/>
      <c r="E85" s="67"/>
      <c r="F85" s="54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8.75" customHeight="1">
      <c r="A86" s="75"/>
      <c r="B86" s="54"/>
      <c r="C86" s="54"/>
      <c r="D86" s="67"/>
      <c r="E86" s="67"/>
      <c r="F86" s="54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8.75" customHeight="1">
      <c r="A87" s="75"/>
      <c r="B87" s="54"/>
      <c r="C87" s="54"/>
      <c r="D87" s="67"/>
      <c r="E87" s="67"/>
      <c r="F87" s="54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8.75" customHeight="1">
      <c r="A88" s="75"/>
      <c r="B88" s="54"/>
      <c r="C88" s="54"/>
      <c r="D88" s="67"/>
      <c r="E88" s="67"/>
      <c r="F88" s="54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8.75" customHeight="1">
      <c r="A89" s="75"/>
      <c r="B89" s="54"/>
      <c r="C89" s="54"/>
      <c r="D89" s="67"/>
      <c r="E89" s="67"/>
      <c r="F89" s="54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8.75" customHeight="1">
      <c r="A90" s="75"/>
      <c r="B90" s="54"/>
      <c r="C90" s="54"/>
      <c r="D90" s="67"/>
      <c r="E90" s="67"/>
      <c r="F90" s="5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8.75" customHeight="1">
      <c r="A91" s="75"/>
      <c r="B91" s="54"/>
      <c r="C91" s="54"/>
      <c r="D91" s="67"/>
      <c r="E91" s="67"/>
      <c r="F91" s="5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8.75" customHeight="1">
      <c r="A92" s="75"/>
      <c r="B92" s="54"/>
      <c r="C92" s="54"/>
      <c r="D92" s="67"/>
      <c r="E92" s="67"/>
      <c r="F92" s="54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8.75" customHeight="1">
      <c r="A93" s="75"/>
      <c r="B93" s="54"/>
      <c r="C93" s="54"/>
      <c r="D93" s="67"/>
      <c r="E93" s="67"/>
      <c r="F93" s="54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8.75" customHeight="1">
      <c r="A94" s="75"/>
      <c r="B94" s="54"/>
      <c r="C94" s="54"/>
      <c r="D94" s="67"/>
      <c r="E94" s="67"/>
      <c r="F94" s="54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8.75" customHeight="1">
      <c r="A95" s="75"/>
      <c r="B95" s="54"/>
      <c r="C95" s="54"/>
      <c r="D95" s="67"/>
      <c r="E95" s="67"/>
      <c r="F95" s="54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8.75" customHeight="1">
      <c r="A96" s="75"/>
      <c r="B96" s="54"/>
      <c r="C96" s="54"/>
      <c r="D96" s="67"/>
      <c r="E96" s="67"/>
      <c r="F96" s="54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8.75" customHeight="1">
      <c r="A97" s="75"/>
      <c r="B97" s="54"/>
      <c r="C97" s="54"/>
      <c r="D97" s="67"/>
      <c r="E97" s="67"/>
      <c r="F97" s="54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8.75" customHeight="1">
      <c r="A98" s="75"/>
      <c r="B98" s="54"/>
      <c r="C98" s="54"/>
      <c r="D98" s="67"/>
      <c r="E98" s="67"/>
      <c r="F98" s="54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8.75" customHeight="1">
      <c r="A99" s="75"/>
      <c r="B99" s="54"/>
      <c r="C99" s="54"/>
      <c r="D99" s="67"/>
      <c r="E99" s="67"/>
      <c r="F99" s="54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8.75" customHeight="1">
      <c r="A100" s="75"/>
      <c r="B100" s="54"/>
      <c r="C100" s="54"/>
      <c r="D100" s="67"/>
      <c r="E100" s="67"/>
      <c r="F100" s="54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8.75" customHeight="1">
      <c r="A101" s="75"/>
      <c r="B101" s="54"/>
      <c r="C101" s="54"/>
      <c r="D101" s="67"/>
      <c r="E101" s="67"/>
      <c r="F101" s="54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8.75" customHeight="1">
      <c r="A102" s="75"/>
      <c r="B102" s="54"/>
      <c r="C102" s="54"/>
      <c r="D102" s="67"/>
      <c r="E102" s="67"/>
      <c r="F102" s="54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8.75" customHeight="1">
      <c r="A103" s="75"/>
      <c r="B103" s="54"/>
      <c r="C103" s="54"/>
      <c r="D103" s="67"/>
      <c r="E103" s="67"/>
      <c r="F103" s="54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8.75" customHeight="1">
      <c r="A104" s="75"/>
      <c r="B104" s="54"/>
      <c r="C104" s="54"/>
      <c r="D104" s="67"/>
      <c r="E104" s="67"/>
      <c r="F104" s="54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8.75" customHeight="1">
      <c r="A105" s="75"/>
      <c r="B105" s="54"/>
      <c r="C105" s="54"/>
      <c r="D105" s="67"/>
      <c r="E105" s="67"/>
      <c r="F105" s="54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8.75" customHeight="1">
      <c r="A106" s="75"/>
      <c r="B106" s="54"/>
      <c r="C106" s="54"/>
      <c r="D106" s="67"/>
      <c r="E106" s="67"/>
      <c r="F106" s="5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8.75" customHeight="1">
      <c r="A107" s="75"/>
      <c r="B107" s="54"/>
      <c r="C107" s="54"/>
      <c r="D107" s="67"/>
      <c r="E107" s="67"/>
      <c r="F107" s="5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8.75" customHeight="1">
      <c r="A108" s="75"/>
      <c r="B108" s="54"/>
      <c r="C108" s="54"/>
      <c r="D108" s="67"/>
      <c r="E108" s="67"/>
      <c r="F108" s="54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8.75" customHeight="1">
      <c r="A109" s="75"/>
      <c r="B109" s="54"/>
      <c r="C109" s="54"/>
      <c r="D109" s="67"/>
      <c r="E109" s="67"/>
      <c r="F109" s="54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8.75" customHeight="1">
      <c r="A110" s="75"/>
      <c r="B110" s="54"/>
      <c r="C110" s="54"/>
      <c r="D110" s="67"/>
      <c r="E110" s="67"/>
      <c r="F110" s="54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8.75" customHeight="1">
      <c r="A111" s="75"/>
      <c r="B111" s="54"/>
      <c r="C111" s="54"/>
      <c r="D111" s="67"/>
      <c r="E111" s="67"/>
      <c r="F111" s="54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8.75" customHeight="1">
      <c r="A112" s="75"/>
      <c r="B112" s="54"/>
      <c r="C112" s="54"/>
      <c r="D112" s="67"/>
      <c r="E112" s="67"/>
      <c r="F112" s="54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8.75" customHeight="1">
      <c r="A113" s="75"/>
      <c r="B113" s="54"/>
      <c r="C113" s="54"/>
      <c r="D113" s="67"/>
      <c r="E113" s="67"/>
      <c r="F113" s="54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8.75" customHeight="1">
      <c r="A114" s="75"/>
      <c r="B114" s="54"/>
      <c r="C114" s="54"/>
      <c r="D114" s="67"/>
      <c r="E114" s="67"/>
      <c r="F114" s="54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8.75" customHeight="1">
      <c r="A115" s="75"/>
      <c r="B115" s="54"/>
      <c r="C115" s="54"/>
      <c r="D115" s="67"/>
      <c r="E115" s="67"/>
      <c r="F115" s="54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8.75" customHeight="1">
      <c r="A116" s="75"/>
      <c r="B116" s="54"/>
      <c r="C116" s="54"/>
      <c r="D116" s="67"/>
      <c r="E116" s="67"/>
      <c r="F116" s="54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8.75" customHeight="1">
      <c r="A117" s="75"/>
      <c r="B117" s="54"/>
      <c r="C117" s="54"/>
      <c r="D117" s="67"/>
      <c r="E117" s="67"/>
      <c r="F117" s="54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8.75" customHeight="1">
      <c r="A118" s="75"/>
      <c r="B118" s="54"/>
      <c r="C118" s="54"/>
      <c r="D118" s="67"/>
      <c r="E118" s="67"/>
      <c r="F118" s="54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8.75" customHeight="1">
      <c r="A119" s="75"/>
      <c r="B119" s="54"/>
      <c r="C119" s="54"/>
      <c r="D119" s="67"/>
      <c r="E119" s="67"/>
      <c r="F119" s="54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8.75" customHeight="1">
      <c r="A120" s="75"/>
      <c r="B120" s="54"/>
      <c r="C120" s="54"/>
      <c r="D120" s="67"/>
      <c r="E120" s="67"/>
      <c r="F120" s="54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8.75" customHeight="1">
      <c r="A121" s="75"/>
      <c r="B121" s="54"/>
      <c r="C121" s="54"/>
      <c r="D121" s="67"/>
      <c r="E121" s="67"/>
      <c r="F121" s="54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8.75" customHeight="1">
      <c r="A122" s="75"/>
      <c r="B122" s="54"/>
      <c r="C122" s="54"/>
      <c r="D122" s="67"/>
      <c r="E122" s="67"/>
      <c r="F122" s="54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8.75" customHeight="1">
      <c r="A123" s="75"/>
      <c r="B123" s="54"/>
      <c r="C123" s="54"/>
      <c r="D123" s="67"/>
      <c r="E123" s="67"/>
      <c r="F123" s="54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8.75" customHeight="1">
      <c r="A124" s="75"/>
      <c r="B124" s="54"/>
      <c r="C124" s="54"/>
      <c r="D124" s="67"/>
      <c r="E124" s="67"/>
      <c r="F124" s="54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8.75" customHeight="1">
      <c r="A125" s="75"/>
      <c r="B125" s="54"/>
      <c r="C125" s="54"/>
      <c r="D125" s="67"/>
      <c r="E125" s="67"/>
      <c r="F125" s="54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8.75" customHeight="1">
      <c r="A126" s="75"/>
      <c r="B126" s="54"/>
      <c r="C126" s="54"/>
      <c r="D126" s="67"/>
      <c r="E126" s="67"/>
      <c r="F126" s="54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8.75" customHeight="1">
      <c r="A127" s="75"/>
      <c r="B127" s="54"/>
      <c r="C127" s="54"/>
      <c r="D127" s="67"/>
      <c r="E127" s="67"/>
      <c r="F127" s="54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8.75" customHeight="1">
      <c r="A128" s="75"/>
      <c r="B128" s="54"/>
      <c r="C128" s="54"/>
      <c r="D128" s="67"/>
      <c r="E128" s="67"/>
      <c r="F128" s="54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8.75" customHeight="1">
      <c r="A129" s="75"/>
      <c r="B129" s="54"/>
      <c r="C129" s="54"/>
      <c r="D129" s="67"/>
      <c r="E129" s="67"/>
      <c r="F129" s="54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8.75" customHeight="1">
      <c r="A130" s="75"/>
      <c r="B130" s="54"/>
      <c r="C130" s="54"/>
      <c r="D130" s="67"/>
      <c r="E130" s="67"/>
      <c r="F130" s="54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8.75" customHeight="1">
      <c r="A131" s="75"/>
      <c r="B131" s="54"/>
      <c r="C131" s="54"/>
      <c r="D131" s="67"/>
      <c r="E131" s="67"/>
      <c r="F131" s="54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8.75" customHeight="1">
      <c r="A132" s="75"/>
      <c r="B132" s="54"/>
      <c r="C132" s="54"/>
      <c r="D132" s="67"/>
      <c r="E132" s="67"/>
      <c r="F132" s="54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8.75" customHeight="1">
      <c r="A133" s="75"/>
      <c r="B133" s="54"/>
      <c r="C133" s="54"/>
      <c r="D133" s="67"/>
      <c r="E133" s="67"/>
      <c r="F133" s="54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8.75" customHeight="1">
      <c r="A134" s="75"/>
      <c r="B134" s="54"/>
      <c r="C134" s="54"/>
      <c r="D134" s="67"/>
      <c r="E134" s="67"/>
      <c r="F134" s="54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8.75" customHeight="1">
      <c r="A135" s="75"/>
      <c r="B135" s="54"/>
      <c r="C135" s="54"/>
      <c r="D135" s="67"/>
      <c r="E135" s="67"/>
      <c r="F135" s="54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8.75" customHeight="1">
      <c r="A136" s="75"/>
      <c r="B136" s="54"/>
      <c r="C136" s="54"/>
      <c r="D136" s="67"/>
      <c r="E136" s="67"/>
      <c r="F136" s="54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8.75" customHeight="1">
      <c r="A137" s="75"/>
      <c r="B137" s="54"/>
      <c r="C137" s="54"/>
      <c r="D137" s="67"/>
      <c r="E137" s="67"/>
      <c r="F137" s="54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8.75" customHeight="1">
      <c r="A138" s="75"/>
      <c r="B138" s="54"/>
      <c r="C138" s="54"/>
      <c r="D138" s="67"/>
      <c r="E138" s="67"/>
      <c r="F138" s="54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8.75" customHeight="1">
      <c r="A139" s="75"/>
      <c r="B139" s="54"/>
      <c r="C139" s="54"/>
      <c r="D139" s="67"/>
      <c r="E139" s="67"/>
      <c r="F139" s="54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8.75" customHeight="1">
      <c r="A140" s="75"/>
      <c r="B140" s="54"/>
      <c r="C140" s="54"/>
      <c r="D140" s="67"/>
      <c r="E140" s="67"/>
      <c r="F140" s="54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8.75" customHeight="1">
      <c r="A141" s="75"/>
      <c r="B141" s="54"/>
      <c r="C141" s="54"/>
      <c r="D141" s="67"/>
      <c r="E141" s="67"/>
      <c r="F141" s="54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8.75" customHeight="1">
      <c r="A142" s="75"/>
      <c r="B142" s="54"/>
      <c r="C142" s="54"/>
      <c r="D142" s="67"/>
      <c r="E142" s="67"/>
      <c r="F142" s="54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8.75" customHeight="1">
      <c r="A143" s="75"/>
      <c r="B143" s="54"/>
      <c r="C143" s="54"/>
      <c r="D143" s="67"/>
      <c r="E143" s="67"/>
      <c r="F143" s="54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8.75" customHeight="1">
      <c r="A144" s="75"/>
      <c r="B144" s="54"/>
      <c r="C144" s="54"/>
      <c r="D144" s="67"/>
      <c r="E144" s="67"/>
      <c r="F144" s="54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8.75" customHeight="1">
      <c r="A145" s="75"/>
      <c r="B145" s="54"/>
      <c r="C145" s="54"/>
      <c r="D145" s="67"/>
      <c r="E145" s="67"/>
      <c r="F145" s="54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8.75" customHeight="1">
      <c r="A146" s="75"/>
      <c r="B146" s="54"/>
      <c r="C146" s="54"/>
      <c r="D146" s="67"/>
      <c r="E146" s="67"/>
      <c r="F146" s="54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8.75" customHeight="1">
      <c r="A147" s="75"/>
      <c r="B147" s="54"/>
      <c r="C147" s="54"/>
      <c r="D147" s="67"/>
      <c r="E147" s="67"/>
      <c r="F147" s="54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8.75" customHeight="1">
      <c r="A148" s="75"/>
      <c r="B148" s="54"/>
      <c r="C148" s="54"/>
      <c r="D148" s="67"/>
      <c r="E148" s="67"/>
      <c r="F148" s="54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8.75" customHeight="1">
      <c r="A149" s="75"/>
      <c r="B149" s="54"/>
      <c r="C149" s="54"/>
      <c r="D149" s="67"/>
      <c r="E149" s="67"/>
      <c r="F149" s="54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8.75" customHeight="1">
      <c r="A150" s="75"/>
      <c r="B150" s="54"/>
      <c r="C150" s="54"/>
      <c r="D150" s="67"/>
      <c r="E150" s="67"/>
      <c r="F150" s="54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8.75" customHeight="1">
      <c r="A151" s="75"/>
      <c r="B151" s="54"/>
      <c r="C151" s="54"/>
      <c r="D151" s="67"/>
      <c r="E151" s="67"/>
      <c r="F151" s="54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8.75" customHeight="1">
      <c r="A152" s="75"/>
      <c r="B152" s="54"/>
      <c r="C152" s="54"/>
      <c r="D152" s="67"/>
      <c r="E152" s="67"/>
      <c r="F152" s="54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8.75" customHeight="1">
      <c r="A153" s="75"/>
      <c r="B153" s="54"/>
      <c r="C153" s="54"/>
      <c r="D153" s="67"/>
      <c r="E153" s="67"/>
      <c r="F153" s="54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8.75" customHeight="1">
      <c r="A154" s="75"/>
      <c r="B154" s="54"/>
      <c r="C154" s="54"/>
      <c r="D154" s="67"/>
      <c r="E154" s="67"/>
      <c r="F154" s="54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8.75" customHeight="1">
      <c r="A155" s="75"/>
      <c r="B155" s="54"/>
      <c r="C155" s="54"/>
      <c r="D155" s="67"/>
      <c r="E155" s="67"/>
      <c r="F155" s="54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8.75" customHeight="1">
      <c r="A156" s="75"/>
      <c r="B156" s="54"/>
      <c r="C156" s="54"/>
      <c r="D156" s="67"/>
      <c r="E156" s="67"/>
      <c r="F156" s="54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8.75" customHeight="1">
      <c r="A157" s="75"/>
      <c r="B157" s="54"/>
      <c r="C157" s="54"/>
      <c r="D157" s="67"/>
      <c r="E157" s="67"/>
      <c r="F157" s="54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8.75" customHeight="1">
      <c r="A158" s="75"/>
      <c r="B158" s="54"/>
      <c r="C158" s="54"/>
      <c r="D158" s="67"/>
      <c r="E158" s="67"/>
      <c r="F158" s="54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8.75" customHeight="1">
      <c r="A159" s="75"/>
      <c r="B159" s="54"/>
      <c r="C159" s="54"/>
      <c r="D159" s="67"/>
      <c r="E159" s="67"/>
      <c r="F159" s="54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8.75" customHeight="1">
      <c r="A160" s="75"/>
      <c r="B160" s="54"/>
      <c r="C160" s="54"/>
      <c r="D160" s="67"/>
      <c r="E160" s="67"/>
      <c r="F160" s="54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8.75" customHeight="1">
      <c r="A161" s="75"/>
      <c r="B161" s="54"/>
      <c r="C161" s="54"/>
      <c r="D161" s="67"/>
      <c r="E161" s="67"/>
      <c r="F161" s="54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8.75" customHeight="1">
      <c r="A162" s="75"/>
      <c r="B162" s="54"/>
      <c r="C162" s="54"/>
      <c r="D162" s="67"/>
      <c r="E162" s="67"/>
      <c r="F162" s="54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8.75" customHeight="1">
      <c r="A163" s="75"/>
      <c r="B163" s="54"/>
      <c r="C163" s="54"/>
      <c r="D163" s="67"/>
      <c r="E163" s="67"/>
      <c r="F163" s="54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8.75" customHeight="1">
      <c r="A164" s="75"/>
      <c r="B164" s="54"/>
      <c r="C164" s="54"/>
      <c r="D164" s="67"/>
      <c r="E164" s="67"/>
      <c r="F164" s="54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8.75" customHeight="1">
      <c r="A165" s="75"/>
      <c r="B165" s="54"/>
      <c r="C165" s="54"/>
      <c r="D165" s="67"/>
      <c r="E165" s="67"/>
      <c r="F165" s="54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8.75" customHeight="1">
      <c r="A166" s="75"/>
      <c r="B166" s="54"/>
      <c r="C166" s="54"/>
      <c r="D166" s="67"/>
      <c r="E166" s="67"/>
      <c r="F166" s="54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8.75" customHeight="1">
      <c r="A167" s="75"/>
      <c r="B167" s="54"/>
      <c r="C167" s="54"/>
      <c r="D167" s="67"/>
      <c r="E167" s="67"/>
      <c r="F167" s="54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8.75" customHeight="1">
      <c r="A168" s="75"/>
      <c r="B168" s="54"/>
      <c r="C168" s="54"/>
      <c r="D168" s="67"/>
      <c r="E168" s="67"/>
      <c r="F168" s="54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8.75" customHeight="1">
      <c r="A169" s="75"/>
      <c r="B169" s="54"/>
      <c r="C169" s="54"/>
      <c r="D169" s="67"/>
      <c r="E169" s="67"/>
      <c r="F169" s="54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8.75" customHeight="1">
      <c r="A170" s="75"/>
      <c r="B170" s="54"/>
      <c r="C170" s="54"/>
      <c r="D170" s="67"/>
      <c r="E170" s="67"/>
      <c r="F170" s="54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8.75" customHeight="1">
      <c r="A171" s="75"/>
      <c r="B171" s="54"/>
      <c r="C171" s="54"/>
      <c r="D171" s="67"/>
      <c r="E171" s="67"/>
      <c r="F171" s="54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8.75" customHeight="1">
      <c r="A172" s="75"/>
      <c r="B172" s="54"/>
      <c r="C172" s="54"/>
      <c r="D172" s="67"/>
      <c r="E172" s="67"/>
      <c r="F172" s="54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8.75" customHeight="1">
      <c r="A173" s="75"/>
      <c r="B173" s="54"/>
      <c r="C173" s="54"/>
      <c r="D173" s="67"/>
      <c r="E173" s="67"/>
      <c r="F173" s="54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8.75" customHeight="1">
      <c r="A174" s="75"/>
      <c r="B174" s="54"/>
      <c r="C174" s="54"/>
      <c r="D174" s="67"/>
      <c r="E174" s="67"/>
      <c r="F174" s="54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8.75" customHeight="1">
      <c r="A175" s="75"/>
      <c r="B175" s="54"/>
      <c r="C175" s="54"/>
      <c r="D175" s="67"/>
      <c r="E175" s="67"/>
      <c r="F175" s="54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8.75" customHeight="1">
      <c r="A176" s="75"/>
      <c r="B176" s="54"/>
      <c r="C176" s="54"/>
      <c r="D176" s="67"/>
      <c r="E176" s="67"/>
      <c r="F176" s="54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8.75" customHeight="1">
      <c r="A177" s="75"/>
      <c r="B177" s="54"/>
      <c r="C177" s="54"/>
      <c r="D177" s="67"/>
      <c r="E177" s="67"/>
      <c r="F177" s="54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8.75" customHeight="1">
      <c r="A178" s="75"/>
      <c r="B178" s="54"/>
      <c r="C178" s="54"/>
      <c r="D178" s="67"/>
      <c r="E178" s="67"/>
      <c r="F178" s="54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8.75" customHeight="1">
      <c r="A179" s="75"/>
      <c r="B179" s="54"/>
      <c r="C179" s="54"/>
      <c r="D179" s="67"/>
      <c r="E179" s="67"/>
      <c r="F179" s="54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8.75" customHeight="1">
      <c r="A180" s="75"/>
      <c r="B180" s="54"/>
      <c r="C180" s="54"/>
      <c r="D180" s="67"/>
      <c r="E180" s="67"/>
      <c r="F180" s="54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8.75" customHeight="1">
      <c r="A181" s="75"/>
      <c r="B181" s="54"/>
      <c r="C181" s="54"/>
      <c r="D181" s="67"/>
      <c r="E181" s="67"/>
      <c r="F181" s="54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8.75" customHeight="1">
      <c r="A182" s="75"/>
      <c r="B182" s="54"/>
      <c r="C182" s="54"/>
      <c r="D182" s="67"/>
      <c r="E182" s="67"/>
      <c r="F182" s="54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8.75" customHeight="1">
      <c r="A183" s="75"/>
      <c r="B183" s="54"/>
      <c r="C183" s="54"/>
      <c r="D183" s="67"/>
      <c r="E183" s="67"/>
      <c r="F183" s="54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8.75" customHeight="1">
      <c r="A184" s="75"/>
      <c r="B184" s="54"/>
      <c r="C184" s="54"/>
      <c r="D184" s="67"/>
      <c r="E184" s="67"/>
      <c r="F184" s="54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8.75" customHeight="1">
      <c r="A185" s="75"/>
      <c r="B185" s="54"/>
      <c r="C185" s="54"/>
      <c r="D185" s="67"/>
      <c r="E185" s="67"/>
      <c r="F185" s="54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8.75" customHeight="1">
      <c r="A186" s="75"/>
      <c r="B186" s="54"/>
      <c r="C186" s="54"/>
      <c r="D186" s="67"/>
      <c r="E186" s="67"/>
      <c r="F186" s="54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8.75" customHeight="1">
      <c r="A187" s="75"/>
      <c r="B187" s="54"/>
      <c r="C187" s="54"/>
      <c r="D187" s="67"/>
      <c r="E187" s="67"/>
      <c r="F187" s="54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8.75" customHeight="1">
      <c r="A188" s="75"/>
      <c r="B188" s="54"/>
      <c r="C188" s="54"/>
      <c r="D188" s="67"/>
      <c r="E188" s="67"/>
      <c r="F188" s="54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8.75" customHeight="1">
      <c r="A189" s="75"/>
      <c r="B189" s="54"/>
      <c r="C189" s="54"/>
      <c r="D189" s="67"/>
      <c r="E189" s="67"/>
      <c r="F189" s="54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8.75" customHeight="1">
      <c r="A190" s="75"/>
      <c r="B190" s="54"/>
      <c r="C190" s="54"/>
      <c r="D190" s="67"/>
      <c r="E190" s="67"/>
      <c r="F190" s="54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8.75" customHeight="1">
      <c r="A191" s="75"/>
      <c r="B191" s="54"/>
      <c r="C191" s="54"/>
      <c r="D191" s="67"/>
      <c r="E191" s="67"/>
      <c r="F191" s="54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8.75" customHeight="1">
      <c r="A192" s="75"/>
      <c r="B192" s="54"/>
      <c r="C192" s="54"/>
      <c r="D192" s="67"/>
      <c r="E192" s="67"/>
      <c r="F192" s="54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8.75" customHeight="1">
      <c r="A193" s="75"/>
      <c r="B193" s="54"/>
      <c r="C193" s="54"/>
      <c r="D193" s="67"/>
      <c r="E193" s="67"/>
      <c r="F193" s="54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8.75" customHeight="1">
      <c r="A194" s="75"/>
      <c r="B194" s="54"/>
      <c r="C194" s="54"/>
      <c r="D194" s="67"/>
      <c r="E194" s="67"/>
      <c r="F194" s="54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8.75" customHeight="1">
      <c r="A195" s="75"/>
      <c r="B195" s="54"/>
      <c r="C195" s="54"/>
      <c r="D195" s="67"/>
      <c r="E195" s="67"/>
      <c r="F195" s="54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8.75" customHeight="1">
      <c r="A196" s="75"/>
      <c r="B196" s="54"/>
      <c r="C196" s="54"/>
      <c r="D196" s="67"/>
      <c r="E196" s="67"/>
      <c r="F196" s="54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8.75" customHeight="1">
      <c r="A197" s="75"/>
      <c r="B197" s="54"/>
      <c r="C197" s="54"/>
      <c r="D197" s="67"/>
      <c r="E197" s="67"/>
      <c r="F197" s="54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8.75" customHeight="1">
      <c r="A198" s="75"/>
      <c r="B198" s="54"/>
      <c r="C198" s="54"/>
      <c r="D198" s="67"/>
      <c r="E198" s="67"/>
      <c r="F198" s="54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8.75" customHeight="1">
      <c r="A199" s="75"/>
      <c r="B199" s="54"/>
      <c r="C199" s="54"/>
      <c r="D199" s="67"/>
      <c r="E199" s="67"/>
      <c r="F199" s="54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8.75" customHeight="1">
      <c r="A200" s="75"/>
      <c r="B200" s="54"/>
      <c r="C200" s="54"/>
      <c r="D200" s="67"/>
      <c r="E200" s="67"/>
      <c r="F200" s="54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8.75" customHeight="1">
      <c r="A201" s="75"/>
      <c r="B201" s="54"/>
      <c r="C201" s="54"/>
      <c r="D201" s="67"/>
      <c r="E201" s="67"/>
      <c r="F201" s="54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8.75" customHeight="1">
      <c r="A202" s="75"/>
      <c r="B202" s="54"/>
      <c r="C202" s="54"/>
      <c r="D202" s="67"/>
      <c r="E202" s="67"/>
      <c r="F202" s="54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8.75" customHeight="1">
      <c r="A203" s="75"/>
      <c r="B203" s="54"/>
      <c r="C203" s="54"/>
      <c r="D203" s="67"/>
      <c r="E203" s="67"/>
      <c r="F203" s="54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8.75" customHeight="1">
      <c r="A204" s="75"/>
      <c r="B204" s="54"/>
      <c r="C204" s="54"/>
      <c r="D204" s="67"/>
      <c r="E204" s="67"/>
      <c r="F204" s="54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8.75" customHeight="1">
      <c r="A205" s="75"/>
      <c r="B205" s="54"/>
      <c r="C205" s="54"/>
      <c r="D205" s="67"/>
      <c r="E205" s="67"/>
      <c r="F205" s="54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8.75" customHeight="1">
      <c r="A206" s="75"/>
      <c r="B206" s="54"/>
      <c r="C206" s="54"/>
      <c r="D206" s="67"/>
      <c r="E206" s="67"/>
      <c r="F206" s="54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8.75" customHeight="1">
      <c r="A207" s="75"/>
      <c r="B207" s="54"/>
      <c r="C207" s="54"/>
      <c r="D207" s="67"/>
      <c r="E207" s="67"/>
      <c r="F207" s="54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8.75" customHeight="1">
      <c r="A208" s="75"/>
      <c r="B208" s="54"/>
      <c r="C208" s="54"/>
      <c r="D208" s="67"/>
      <c r="E208" s="67"/>
      <c r="F208" s="54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8.75" customHeight="1">
      <c r="A209" s="75"/>
      <c r="B209" s="54"/>
      <c r="C209" s="54"/>
      <c r="D209" s="67"/>
      <c r="E209" s="67"/>
      <c r="F209" s="54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8.75" customHeight="1">
      <c r="A210" s="75"/>
      <c r="B210" s="54"/>
      <c r="C210" s="54"/>
      <c r="D210" s="67"/>
      <c r="E210" s="67"/>
      <c r="F210" s="54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8.75" customHeight="1">
      <c r="A211" s="75"/>
      <c r="B211" s="54"/>
      <c r="C211" s="54"/>
      <c r="D211" s="67"/>
      <c r="E211" s="67"/>
      <c r="F211" s="54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8.75" customHeight="1">
      <c r="A212" s="75"/>
      <c r="B212" s="54"/>
      <c r="C212" s="54"/>
      <c r="D212" s="67"/>
      <c r="E212" s="67"/>
      <c r="F212" s="54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8.75" customHeight="1">
      <c r="A213" s="75"/>
      <c r="B213" s="54"/>
      <c r="C213" s="54"/>
      <c r="D213" s="67"/>
      <c r="E213" s="67"/>
      <c r="F213" s="54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8.75" customHeight="1">
      <c r="A214" s="75"/>
      <c r="B214" s="54"/>
      <c r="C214" s="54"/>
      <c r="D214" s="67"/>
      <c r="E214" s="67"/>
      <c r="F214" s="54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8.75" customHeight="1">
      <c r="A215" s="75"/>
      <c r="B215" s="54"/>
      <c r="C215" s="54"/>
      <c r="D215" s="67"/>
      <c r="E215" s="67"/>
      <c r="F215" s="54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8.75" customHeight="1">
      <c r="A216" s="75"/>
      <c r="B216" s="54"/>
      <c r="C216" s="54"/>
      <c r="D216" s="67"/>
      <c r="E216" s="67"/>
      <c r="F216" s="54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8.75" customHeight="1">
      <c r="A217" s="75"/>
      <c r="B217" s="54"/>
      <c r="C217" s="54"/>
      <c r="D217" s="67"/>
      <c r="E217" s="67"/>
      <c r="F217" s="54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8.75" customHeight="1">
      <c r="A218" s="75"/>
      <c r="B218" s="54"/>
      <c r="C218" s="54"/>
      <c r="D218" s="67"/>
      <c r="E218" s="67"/>
      <c r="F218" s="54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8.75" customHeight="1">
      <c r="A219" s="75"/>
      <c r="B219" s="54"/>
      <c r="C219" s="54"/>
      <c r="D219" s="67"/>
      <c r="E219" s="67"/>
      <c r="F219" s="54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8.75" customHeight="1">
      <c r="A220" s="75"/>
      <c r="B220" s="54"/>
      <c r="C220" s="54"/>
      <c r="D220" s="67"/>
      <c r="E220" s="67"/>
      <c r="F220" s="54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8.75" customHeight="1">
      <c r="A221" s="75"/>
      <c r="B221" s="54"/>
      <c r="C221" s="54"/>
      <c r="D221" s="67"/>
      <c r="E221" s="67"/>
      <c r="F221" s="54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8.75" customHeight="1">
      <c r="A222" s="75"/>
      <c r="B222" s="54"/>
      <c r="C222" s="54"/>
      <c r="D222" s="67"/>
      <c r="E222" s="67"/>
      <c r="F222" s="54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8.75" customHeight="1">
      <c r="A223" s="75"/>
      <c r="B223" s="54"/>
      <c r="C223" s="54"/>
      <c r="D223" s="67"/>
      <c r="E223" s="67"/>
      <c r="F223" s="54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8.75" customHeight="1">
      <c r="A224" s="75"/>
      <c r="B224" s="54"/>
      <c r="C224" s="54"/>
      <c r="D224" s="67"/>
      <c r="E224" s="67"/>
      <c r="F224" s="54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8.75" customHeight="1">
      <c r="A225" s="75"/>
      <c r="B225" s="54"/>
      <c r="C225" s="54"/>
      <c r="D225" s="67"/>
      <c r="E225" s="67"/>
      <c r="F225" s="54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8.75" customHeight="1">
      <c r="A226" s="75"/>
      <c r="B226" s="54"/>
      <c r="C226" s="54"/>
      <c r="D226" s="67"/>
      <c r="E226" s="67"/>
      <c r="F226" s="54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8.75" customHeight="1">
      <c r="A227" s="75"/>
      <c r="B227" s="54"/>
      <c r="C227" s="54"/>
      <c r="D227" s="67"/>
      <c r="E227" s="67"/>
      <c r="F227" s="54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8.75" customHeight="1">
      <c r="A228" s="75"/>
      <c r="B228" s="54"/>
      <c r="C228" s="54"/>
      <c r="D228" s="67"/>
      <c r="E228" s="67"/>
      <c r="F228" s="54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8.75" customHeight="1">
      <c r="A229" s="75"/>
      <c r="B229" s="54"/>
      <c r="C229" s="54"/>
      <c r="D229" s="67"/>
      <c r="E229" s="67"/>
      <c r="F229" s="54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8.75" customHeight="1">
      <c r="A230" s="75"/>
      <c r="B230" s="54"/>
      <c r="C230" s="54"/>
      <c r="D230" s="67"/>
      <c r="E230" s="67"/>
      <c r="F230" s="54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8.75" customHeight="1">
      <c r="A231" s="75"/>
      <c r="B231" s="54"/>
      <c r="C231" s="54"/>
      <c r="D231" s="67"/>
      <c r="E231" s="67"/>
      <c r="F231" s="54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8.75" customHeight="1">
      <c r="A232" s="75"/>
      <c r="B232" s="54"/>
      <c r="C232" s="54"/>
      <c r="D232" s="67"/>
      <c r="E232" s="67"/>
      <c r="F232" s="54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8.75" customHeight="1">
      <c r="A233" s="75"/>
      <c r="B233" s="54"/>
      <c r="C233" s="54"/>
      <c r="D233" s="67"/>
      <c r="E233" s="67"/>
      <c r="F233" s="54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8.75" customHeight="1">
      <c r="A234" s="75"/>
      <c r="B234" s="54"/>
      <c r="C234" s="54"/>
      <c r="D234" s="67"/>
      <c r="E234" s="67"/>
      <c r="F234" s="54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8.75" customHeight="1">
      <c r="A235" s="75"/>
      <c r="B235" s="54"/>
      <c r="C235" s="54"/>
      <c r="D235" s="67"/>
      <c r="E235" s="67"/>
      <c r="F235" s="54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8.75" customHeight="1">
      <c r="A236" s="75"/>
      <c r="B236" s="54"/>
      <c r="C236" s="54"/>
      <c r="D236" s="67"/>
      <c r="E236" s="67"/>
      <c r="F236" s="54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8.75" customHeight="1">
      <c r="A237" s="75"/>
      <c r="B237" s="54"/>
      <c r="C237" s="54"/>
      <c r="D237" s="67"/>
      <c r="E237" s="67"/>
      <c r="F237" s="54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8.75" customHeight="1">
      <c r="A238" s="75"/>
      <c r="B238" s="54"/>
      <c r="C238" s="54"/>
      <c r="D238" s="67"/>
      <c r="E238" s="67"/>
      <c r="F238" s="54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8.75" customHeight="1">
      <c r="A239" s="75"/>
      <c r="B239" s="54"/>
      <c r="C239" s="54"/>
      <c r="D239" s="67"/>
      <c r="E239" s="67"/>
      <c r="F239" s="54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8.75" customHeight="1">
      <c r="A240" s="75"/>
      <c r="B240" s="54"/>
      <c r="C240" s="54"/>
      <c r="D240" s="67"/>
      <c r="E240" s="67"/>
      <c r="F240" s="54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8.75" customHeight="1">
      <c r="A241" s="75"/>
      <c r="B241" s="54"/>
      <c r="C241" s="54"/>
      <c r="D241" s="67"/>
      <c r="E241" s="67"/>
      <c r="F241" s="54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8.75" customHeight="1">
      <c r="A242" s="75"/>
      <c r="B242" s="54"/>
      <c r="C242" s="54"/>
      <c r="D242" s="67"/>
      <c r="E242" s="67"/>
      <c r="F242" s="54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8.75" customHeight="1">
      <c r="A243" s="75"/>
      <c r="B243" s="54"/>
      <c r="C243" s="54"/>
      <c r="D243" s="67"/>
      <c r="E243" s="67"/>
      <c r="F243" s="54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8.75" customHeight="1">
      <c r="A244" s="75"/>
      <c r="B244" s="54"/>
      <c r="C244" s="54"/>
      <c r="D244" s="67"/>
      <c r="E244" s="67"/>
      <c r="F244" s="54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8.75" customHeight="1">
      <c r="A245" s="75"/>
      <c r="B245" s="54"/>
      <c r="C245" s="54"/>
      <c r="D245" s="67"/>
      <c r="E245" s="67"/>
      <c r="F245" s="54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8.75" customHeight="1">
      <c r="A246" s="75"/>
      <c r="B246" s="54"/>
      <c r="C246" s="54"/>
      <c r="D246" s="67"/>
      <c r="E246" s="67"/>
      <c r="F246" s="54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8.75" customHeight="1">
      <c r="A247" s="75"/>
      <c r="B247" s="54"/>
      <c r="C247" s="54"/>
      <c r="D247" s="67"/>
      <c r="E247" s="67"/>
      <c r="F247" s="54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8.75" customHeight="1">
      <c r="A248" s="75"/>
      <c r="B248" s="54"/>
      <c r="C248" s="54"/>
      <c r="D248" s="67"/>
      <c r="E248" s="67"/>
      <c r="F248" s="54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8.75" customHeight="1">
      <c r="A249" s="75"/>
      <c r="B249" s="54"/>
      <c r="C249" s="54"/>
      <c r="D249" s="67"/>
      <c r="E249" s="67"/>
      <c r="F249" s="54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8.75" customHeight="1">
      <c r="A250" s="75"/>
      <c r="B250" s="54"/>
      <c r="C250" s="54"/>
      <c r="D250" s="67"/>
      <c r="E250" s="67"/>
      <c r="F250" s="54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8.75" customHeight="1">
      <c r="A251" s="75"/>
      <c r="B251" s="54"/>
      <c r="C251" s="54"/>
      <c r="D251" s="67"/>
      <c r="E251" s="67"/>
      <c r="F251" s="54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8.75" customHeight="1">
      <c r="A252" s="75"/>
      <c r="B252" s="54"/>
      <c r="C252" s="54"/>
      <c r="D252" s="67"/>
      <c r="E252" s="67"/>
      <c r="F252" s="54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8.75" customHeight="1">
      <c r="A253" s="75"/>
      <c r="B253" s="54"/>
      <c r="C253" s="54"/>
      <c r="D253" s="67"/>
      <c r="E253" s="67"/>
      <c r="F253" s="54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8.75" customHeight="1">
      <c r="A254" s="75"/>
      <c r="B254" s="54"/>
      <c r="C254" s="54"/>
      <c r="D254" s="67"/>
      <c r="E254" s="67"/>
      <c r="F254" s="54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8.75" customHeight="1">
      <c r="A255" s="75"/>
      <c r="B255" s="54"/>
      <c r="C255" s="54"/>
      <c r="D255" s="67"/>
      <c r="E255" s="67"/>
      <c r="F255" s="54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8.75" customHeight="1">
      <c r="A256" s="75"/>
      <c r="B256" s="54"/>
      <c r="C256" s="54"/>
      <c r="D256" s="67"/>
      <c r="E256" s="67"/>
      <c r="F256" s="54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8.75" customHeight="1">
      <c r="A257" s="75"/>
      <c r="B257" s="54"/>
      <c r="C257" s="54"/>
      <c r="D257" s="67"/>
      <c r="E257" s="67"/>
      <c r="F257" s="54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8.75" customHeight="1">
      <c r="A258" s="75"/>
      <c r="B258" s="54"/>
      <c r="C258" s="54"/>
      <c r="D258" s="67"/>
      <c r="E258" s="67"/>
      <c r="F258" s="54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8.75" customHeight="1">
      <c r="A259" s="75"/>
      <c r="B259" s="54"/>
      <c r="C259" s="54"/>
      <c r="D259" s="67"/>
      <c r="E259" s="67"/>
      <c r="F259" s="54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8.75" customHeight="1">
      <c r="A260" s="75"/>
      <c r="B260" s="54"/>
      <c r="C260" s="54"/>
      <c r="D260" s="67"/>
      <c r="E260" s="67"/>
      <c r="F260" s="54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8.75" customHeight="1">
      <c r="A261" s="75"/>
      <c r="B261" s="54"/>
      <c r="C261" s="54"/>
      <c r="D261" s="67"/>
      <c r="E261" s="67"/>
      <c r="F261" s="54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8.75" customHeight="1">
      <c r="A262" s="75"/>
      <c r="B262" s="54"/>
      <c r="C262" s="54"/>
      <c r="D262" s="67"/>
      <c r="E262" s="67"/>
      <c r="F262" s="54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8.75" customHeight="1">
      <c r="A263" s="75"/>
      <c r="B263" s="54"/>
      <c r="C263" s="54"/>
      <c r="D263" s="67"/>
      <c r="E263" s="67"/>
      <c r="F263" s="54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8.75" customHeight="1">
      <c r="A264" s="75"/>
      <c r="B264" s="54"/>
      <c r="C264" s="54"/>
      <c r="D264" s="67"/>
      <c r="E264" s="67"/>
      <c r="F264" s="54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8.75" customHeight="1">
      <c r="A265" s="75"/>
      <c r="B265" s="54"/>
      <c r="C265" s="54"/>
      <c r="D265" s="67"/>
      <c r="E265" s="67"/>
      <c r="F265" s="54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8.75" customHeight="1">
      <c r="A266" s="75"/>
      <c r="B266" s="54"/>
      <c r="C266" s="54"/>
      <c r="D266" s="67"/>
      <c r="E266" s="67"/>
      <c r="F266" s="54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8.75" customHeight="1">
      <c r="A267" s="75"/>
      <c r="B267" s="54"/>
      <c r="C267" s="54"/>
      <c r="D267" s="67"/>
      <c r="E267" s="67"/>
      <c r="F267" s="54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8.75" customHeight="1">
      <c r="A268" s="75"/>
      <c r="B268" s="54"/>
      <c r="C268" s="54"/>
      <c r="D268" s="67"/>
      <c r="E268" s="67"/>
      <c r="F268" s="54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8.75" customHeight="1">
      <c r="A269" s="75"/>
      <c r="B269" s="54"/>
      <c r="C269" s="54"/>
      <c r="D269" s="67"/>
      <c r="E269" s="67"/>
      <c r="F269" s="54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8.75" customHeight="1">
      <c r="A270" s="75"/>
      <c r="B270" s="54"/>
      <c r="C270" s="54"/>
      <c r="D270" s="67"/>
      <c r="E270" s="67"/>
      <c r="F270" s="54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8.75" customHeight="1">
      <c r="A271" s="75"/>
      <c r="B271" s="54"/>
      <c r="C271" s="54"/>
      <c r="D271" s="67"/>
      <c r="E271" s="67"/>
      <c r="F271" s="54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8.75" customHeight="1">
      <c r="A272" s="75"/>
      <c r="B272" s="54"/>
      <c r="C272" s="54"/>
      <c r="D272" s="67"/>
      <c r="E272" s="67"/>
      <c r="F272" s="54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8.75" customHeight="1">
      <c r="A273" s="75"/>
      <c r="B273" s="54"/>
      <c r="C273" s="54"/>
      <c r="D273" s="67"/>
      <c r="E273" s="67"/>
      <c r="F273" s="54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8.75" customHeight="1">
      <c r="A274" s="75"/>
      <c r="B274" s="54"/>
      <c r="C274" s="54"/>
      <c r="D274" s="67"/>
      <c r="E274" s="67"/>
      <c r="F274" s="54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8.75" customHeight="1">
      <c r="A275" s="75"/>
      <c r="B275" s="54"/>
      <c r="C275" s="54"/>
      <c r="D275" s="67"/>
      <c r="E275" s="67"/>
      <c r="F275" s="54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8.75" customHeight="1">
      <c r="A276" s="75"/>
      <c r="B276" s="54"/>
      <c r="C276" s="54"/>
      <c r="D276" s="67"/>
      <c r="E276" s="67"/>
      <c r="F276" s="54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8.75" customHeight="1">
      <c r="A277" s="75"/>
      <c r="B277" s="54"/>
      <c r="C277" s="54"/>
      <c r="D277" s="67"/>
      <c r="E277" s="67"/>
      <c r="F277" s="54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8.75" customHeight="1">
      <c r="A278" s="75"/>
      <c r="B278" s="54"/>
      <c r="C278" s="54"/>
      <c r="D278" s="67"/>
      <c r="E278" s="67"/>
      <c r="F278" s="54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8.75" customHeight="1">
      <c r="A279" s="75"/>
      <c r="B279" s="54"/>
      <c r="C279" s="54"/>
      <c r="D279" s="67"/>
      <c r="E279" s="67"/>
      <c r="F279" s="54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8.75" customHeight="1">
      <c r="A280" s="75"/>
      <c r="B280" s="54"/>
      <c r="C280" s="54"/>
      <c r="D280" s="67"/>
      <c r="E280" s="67"/>
      <c r="F280" s="54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8.75" customHeight="1">
      <c r="A281" s="75"/>
      <c r="B281" s="54"/>
      <c r="C281" s="54"/>
      <c r="D281" s="67"/>
      <c r="E281" s="67"/>
      <c r="F281" s="54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8.75" customHeight="1">
      <c r="A282" s="75"/>
      <c r="B282" s="54"/>
      <c r="C282" s="54"/>
      <c r="D282" s="67"/>
      <c r="E282" s="67"/>
      <c r="F282" s="54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8.75" customHeight="1">
      <c r="A283" s="75"/>
      <c r="B283" s="54"/>
      <c r="C283" s="54"/>
      <c r="D283" s="67"/>
      <c r="E283" s="67"/>
      <c r="F283" s="54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8.75" customHeight="1">
      <c r="A284" s="75"/>
      <c r="B284" s="54"/>
      <c r="C284" s="54"/>
      <c r="D284" s="67"/>
      <c r="E284" s="67"/>
      <c r="F284" s="54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8.75" customHeight="1">
      <c r="A285" s="75"/>
      <c r="B285" s="54"/>
      <c r="C285" s="54"/>
      <c r="D285" s="67"/>
      <c r="E285" s="67"/>
      <c r="F285" s="54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8.75" customHeight="1">
      <c r="A286" s="75"/>
      <c r="B286" s="54"/>
      <c r="C286" s="54"/>
      <c r="D286" s="67"/>
      <c r="E286" s="67"/>
      <c r="F286" s="54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8.75" customHeight="1">
      <c r="A287" s="75"/>
      <c r="B287" s="54"/>
      <c r="C287" s="54"/>
      <c r="D287" s="67"/>
      <c r="E287" s="67"/>
      <c r="F287" s="54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8.75" customHeight="1">
      <c r="A288" s="75"/>
      <c r="B288" s="54"/>
      <c r="C288" s="54"/>
      <c r="D288" s="67"/>
      <c r="E288" s="67"/>
      <c r="F288" s="54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8.75" customHeight="1">
      <c r="A289" s="75"/>
      <c r="B289" s="54"/>
      <c r="C289" s="54"/>
      <c r="D289" s="67"/>
      <c r="E289" s="67"/>
      <c r="F289" s="54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8.75" customHeight="1">
      <c r="A290" s="75"/>
      <c r="B290" s="54"/>
      <c r="C290" s="54"/>
      <c r="D290" s="67"/>
      <c r="E290" s="67"/>
      <c r="F290" s="54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8.75" customHeight="1">
      <c r="A291" s="75"/>
      <c r="B291" s="54"/>
      <c r="C291" s="54"/>
      <c r="D291" s="67"/>
      <c r="E291" s="67"/>
      <c r="F291" s="54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8.75" customHeight="1">
      <c r="A292" s="75"/>
      <c r="B292" s="54"/>
      <c r="C292" s="54"/>
      <c r="D292" s="67"/>
      <c r="E292" s="67"/>
      <c r="F292" s="54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8.75" customHeight="1">
      <c r="A293" s="75"/>
      <c r="B293" s="54"/>
      <c r="C293" s="54"/>
      <c r="D293" s="67"/>
      <c r="E293" s="67"/>
      <c r="F293" s="54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8.75" customHeight="1">
      <c r="A294" s="75"/>
      <c r="B294" s="54"/>
      <c r="C294" s="54"/>
      <c r="D294" s="67"/>
      <c r="E294" s="67"/>
      <c r="F294" s="54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8.75" customHeight="1">
      <c r="A295" s="75"/>
      <c r="B295" s="54"/>
      <c r="C295" s="54"/>
      <c r="D295" s="67"/>
      <c r="E295" s="67"/>
      <c r="F295" s="54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8.75" customHeight="1">
      <c r="A296" s="75"/>
      <c r="B296" s="54"/>
      <c r="C296" s="54"/>
      <c r="D296" s="67"/>
      <c r="E296" s="67"/>
      <c r="F296" s="54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8.75" customHeight="1">
      <c r="A297" s="75"/>
      <c r="B297" s="54"/>
      <c r="C297" s="54"/>
      <c r="D297" s="67"/>
      <c r="E297" s="67"/>
      <c r="F297" s="54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8.75" customHeight="1">
      <c r="A298" s="75"/>
      <c r="B298" s="54"/>
      <c r="C298" s="54"/>
      <c r="D298" s="67"/>
      <c r="E298" s="67"/>
      <c r="F298" s="54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8.75" customHeight="1">
      <c r="A299" s="75"/>
      <c r="B299" s="54"/>
      <c r="C299" s="54"/>
      <c r="D299" s="67"/>
      <c r="E299" s="67"/>
      <c r="F299" s="54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8.75" customHeight="1">
      <c r="A300" s="75"/>
      <c r="B300" s="54"/>
      <c r="C300" s="54"/>
      <c r="D300" s="67"/>
      <c r="E300" s="67"/>
      <c r="F300" s="54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8.75" customHeight="1">
      <c r="A301" s="75"/>
      <c r="B301" s="54"/>
      <c r="C301" s="54"/>
      <c r="D301" s="67"/>
      <c r="E301" s="67"/>
      <c r="F301" s="54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8.75" customHeight="1">
      <c r="A302" s="75"/>
      <c r="B302" s="54"/>
      <c r="C302" s="54"/>
      <c r="D302" s="67"/>
      <c r="E302" s="67"/>
      <c r="F302" s="54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8.75" customHeight="1">
      <c r="A303" s="75"/>
      <c r="B303" s="54"/>
      <c r="C303" s="54"/>
      <c r="D303" s="67"/>
      <c r="E303" s="67"/>
      <c r="F303" s="54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8.75" customHeight="1">
      <c r="A304" s="75"/>
      <c r="B304" s="54"/>
      <c r="C304" s="54"/>
      <c r="D304" s="67"/>
      <c r="E304" s="67"/>
      <c r="F304" s="54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8.75" customHeight="1">
      <c r="A305" s="75"/>
      <c r="B305" s="54"/>
      <c r="C305" s="54"/>
      <c r="D305" s="67"/>
      <c r="E305" s="67"/>
      <c r="F305" s="54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8.75" customHeight="1">
      <c r="A306" s="75"/>
      <c r="B306" s="54"/>
      <c r="C306" s="54"/>
      <c r="D306" s="67"/>
      <c r="E306" s="67"/>
      <c r="F306" s="54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8.75" customHeight="1">
      <c r="A307" s="75"/>
      <c r="B307" s="54"/>
      <c r="C307" s="54"/>
      <c r="D307" s="67"/>
      <c r="E307" s="67"/>
      <c r="F307" s="54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8.75" customHeight="1">
      <c r="A308" s="75"/>
      <c r="B308" s="54"/>
      <c r="C308" s="54"/>
      <c r="D308" s="67"/>
      <c r="E308" s="67"/>
      <c r="F308" s="54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8.75" customHeight="1">
      <c r="A309" s="75"/>
      <c r="B309" s="54"/>
      <c r="C309" s="54"/>
      <c r="D309" s="67"/>
      <c r="E309" s="67"/>
      <c r="F309" s="54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8.75" customHeight="1">
      <c r="A310" s="75"/>
      <c r="B310" s="54"/>
      <c r="C310" s="54"/>
      <c r="D310" s="67"/>
      <c r="E310" s="67"/>
      <c r="F310" s="54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8.75" customHeight="1">
      <c r="A311" s="75"/>
      <c r="B311" s="54"/>
      <c r="C311" s="54"/>
      <c r="D311" s="67"/>
      <c r="E311" s="67"/>
      <c r="F311" s="54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8.75" customHeight="1">
      <c r="A312" s="75"/>
      <c r="B312" s="54"/>
      <c r="C312" s="54"/>
      <c r="D312" s="67"/>
      <c r="E312" s="67"/>
      <c r="F312" s="54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8.75" customHeight="1">
      <c r="A313" s="75"/>
      <c r="B313" s="54"/>
      <c r="C313" s="54"/>
      <c r="D313" s="67"/>
      <c r="E313" s="67"/>
      <c r="F313" s="54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8.75" customHeight="1">
      <c r="A314" s="75"/>
      <c r="B314" s="54"/>
      <c r="C314" s="54"/>
      <c r="D314" s="67"/>
      <c r="E314" s="67"/>
      <c r="F314" s="54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8.75" customHeight="1">
      <c r="A315" s="75"/>
      <c r="B315" s="54"/>
      <c r="C315" s="54"/>
      <c r="D315" s="67"/>
      <c r="E315" s="67"/>
      <c r="F315" s="54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8.75" customHeight="1">
      <c r="A316" s="75"/>
      <c r="B316" s="54"/>
      <c r="C316" s="54"/>
      <c r="D316" s="67"/>
      <c r="E316" s="67"/>
      <c r="F316" s="54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8.75" customHeight="1">
      <c r="A317" s="75"/>
      <c r="B317" s="54"/>
      <c r="C317" s="54"/>
      <c r="D317" s="67"/>
      <c r="E317" s="67"/>
      <c r="F317" s="54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8.75" customHeight="1">
      <c r="A318" s="75"/>
      <c r="B318" s="54"/>
      <c r="C318" s="54"/>
      <c r="D318" s="67"/>
      <c r="E318" s="67"/>
      <c r="F318" s="54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8.75" customHeight="1">
      <c r="A319" s="75"/>
      <c r="B319" s="54"/>
      <c r="C319" s="54"/>
      <c r="D319" s="67"/>
      <c r="E319" s="67"/>
      <c r="F319" s="54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8.75" customHeight="1">
      <c r="A320" s="75"/>
      <c r="B320" s="54"/>
      <c r="C320" s="54"/>
      <c r="D320" s="67"/>
      <c r="E320" s="67"/>
      <c r="F320" s="54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8.75" customHeight="1">
      <c r="A321" s="75"/>
      <c r="B321" s="54"/>
      <c r="C321" s="54"/>
      <c r="D321" s="67"/>
      <c r="E321" s="67"/>
      <c r="F321" s="54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8.75" customHeight="1">
      <c r="A322" s="75"/>
      <c r="B322" s="54"/>
      <c r="C322" s="54"/>
      <c r="D322" s="67"/>
      <c r="E322" s="67"/>
      <c r="F322" s="54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8.75" customHeight="1">
      <c r="A323" s="75"/>
      <c r="B323" s="54"/>
      <c r="C323" s="54"/>
      <c r="D323" s="67"/>
      <c r="E323" s="67"/>
      <c r="F323" s="54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8.75" customHeight="1">
      <c r="A324" s="75"/>
      <c r="B324" s="54"/>
      <c r="C324" s="54"/>
      <c r="D324" s="67"/>
      <c r="E324" s="67"/>
      <c r="F324" s="54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8.75" customHeight="1">
      <c r="A325" s="75"/>
      <c r="B325" s="54"/>
      <c r="C325" s="54"/>
      <c r="D325" s="67"/>
      <c r="E325" s="67"/>
      <c r="F325" s="54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8.75" customHeight="1">
      <c r="A326" s="75"/>
      <c r="B326" s="54"/>
      <c r="C326" s="54"/>
      <c r="D326" s="67"/>
      <c r="E326" s="67"/>
      <c r="F326" s="54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8.75" customHeight="1">
      <c r="A327" s="75"/>
      <c r="B327" s="54"/>
      <c r="C327" s="54"/>
      <c r="D327" s="67"/>
      <c r="E327" s="67"/>
      <c r="F327" s="54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8.75" customHeight="1">
      <c r="A328" s="75"/>
      <c r="B328" s="54"/>
      <c r="C328" s="54"/>
      <c r="D328" s="67"/>
      <c r="E328" s="67"/>
      <c r="F328" s="54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8.75" customHeight="1">
      <c r="A329" s="75"/>
      <c r="B329" s="54"/>
      <c r="C329" s="54"/>
      <c r="D329" s="67"/>
      <c r="E329" s="67"/>
      <c r="F329" s="54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8.75" customHeight="1">
      <c r="A330" s="75"/>
      <c r="B330" s="54"/>
      <c r="C330" s="54"/>
      <c r="D330" s="67"/>
      <c r="E330" s="67"/>
      <c r="F330" s="54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8.75" customHeight="1">
      <c r="A331" s="75"/>
      <c r="B331" s="54"/>
      <c r="C331" s="54"/>
      <c r="D331" s="67"/>
      <c r="E331" s="67"/>
      <c r="F331" s="54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8.75" customHeight="1">
      <c r="A332" s="75"/>
      <c r="B332" s="54"/>
      <c r="C332" s="54"/>
      <c r="D332" s="67"/>
      <c r="E332" s="67"/>
      <c r="F332" s="54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8.75" customHeight="1">
      <c r="A333" s="75"/>
      <c r="B333" s="54"/>
      <c r="C333" s="54"/>
      <c r="D333" s="67"/>
      <c r="E333" s="67"/>
      <c r="F333" s="54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8.75" customHeight="1">
      <c r="A334" s="75"/>
      <c r="B334" s="54"/>
      <c r="C334" s="54"/>
      <c r="D334" s="67"/>
      <c r="E334" s="67"/>
      <c r="F334" s="54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8.75" customHeight="1">
      <c r="A335" s="75"/>
      <c r="B335" s="54"/>
      <c r="C335" s="54"/>
      <c r="D335" s="67"/>
      <c r="E335" s="67"/>
      <c r="F335" s="54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8.75" customHeight="1">
      <c r="A336" s="75"/>
      <c r="B336" s="54"/>
      <c r="C336" s="54"/>
      <c r="D336" s="67"/>
      <c r="E336" s="67"/>
      <c r="F336" s="54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8.75" customHeight="1">
      <c r="A337" s="75"/>
      <c r="B337" s="54"/>
      <c r="C337" s="54"/>
      <c r="D337" s="67"/>
      <c r="E337" s="67"/>
      <c r="F337" s="54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8.75" customHeight="1">
      <c r="A338" s="75"/>
      <c r="B338" s="54"/>
      <c r="C338" s="54"/>
      <c r="D338" s="67"/>
      <c r="E338" s="67"/>
      <c r="F338" s="54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8.75" customHeight="1">
      <c r="A339" s="75"/>
      <c r="B339" s="54"/>
      <c r="C339" s="54"/>
      <c r="D339" s="67"/>
      <c r="E339" s="67"/>
      <c r="F339" s="54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8.75" customHeight="1">
      <c r="A340" s="75"/>
      <c r="B340" s="54"/>
      <c r="C340" s="54"/>
      <c r="D340" s="67"/>
      <c r="E340" s="67"/>
      <c r="F340" s="54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8.75" customHeight="1">
      <c r="A341" s="75"/>
      <c r="B341" s="54"/>
      <c r="C341" s="54"/>
      <c r="D341" s="67"/>
      <c r="E341" s="67"/>
      <c r="F341" s="54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8.75" customHeight="1">
      <c r="A342" s="75"/>
      <c r="B342" s="54"/>
      <c r="C342" s="54"/>
      <c r="D342" s="67"/>
      <c r="E342" s="67"/>
      <c r="F342" s="54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8.75" customHeight="1">
      <c r="A343" s="75"/>
      <c r="B343" s="54"/>
      <c r="C343" s="54"/>
      <c r="D343" s="67"/>
      <c r="E343" s="67"/>
      <c r="F343" s="54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8.75" customHeight="1">
      <c r="A344" s="75"/>
      <c r="B344" s="54"/>
      <c r="C344" s="54"/>
      <c r="D344" s="67"/>
      <c r="E344" s="67"/>
      <c r="F344" s="54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8.75" customHeight="1">
      <c r="A345" s="75"/>
      <c r="B345" s="54"/>
      <c r="C345" s="54"/>
      <c r="D345" s="67"/>
      <c r="E345" s="67"/>
      <c r="F345" s="54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8.75" customHeight="1">
      <c r="A346" s="75"/>
      <c r="B346" s="54"/>
      <c r="C346" s="54"/>
      <c r="D346" s="67"/>
      <c r="E346" s="67"/>
      <c r="F346" s="54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8.75" customHeight="1">
      <c r="A347" s="75"/>
      <c r="B347" s="54"/>
      <c r="C347" s="54"/>
      <c r="D347" s="67"/>
      <c r="E347" s="67"/>
      <c r="F347" s="54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8.75" customHeight="1">
      <c r="A348" s="75"/>
      <c r="B348" s="54"/>
      <c r="C348" s="54"/>
      <c r="D348" s="67"/>
      <c r="E348" s="67"/>
      <c r="F348" s="54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8.75" customHeight="1">
      <c r="A349" s="75"/>
      <c r="B349" s="54"/>
      <c r="C349" s="54"/>
      <c r="D349" s="67"/>
      <c r="E349" s="67"/>
      <c r="F349" s="54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8.75" customHeight="1">
      <c r="A350" s="75"/>
      <c r="B350" s="54"/>
      <c r="C350" s="54"/>
      <c r="D350" s="67"/>
      <c r="E350" s="67"/>
      <c r="F350" s="54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8.75" customHeight="1">
      <c r="A351" s="75"/>
      <c r="B351" s="54"/>
      <c r="C351" s="54"/>
      <c r="D351" s="67"/>
      <c r="E351" s="67"/>
      <c r="F351" s="54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8.75" customHeight="1">
      <c r="A352" s="75"/>
      <c r="B352" s="54"/>
      <c r="C352" s="54"/>
      <c r="D352" s="67"/>
      <c r="E352" s="67"/>
      <c r="F352" s="54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8.75" customHeight="1">
      <c r="A353" s="75"/>
      <c r="B353" s="54"/>
      <c r="C353" s="54"/>
      <c r="D353" s="67"/>
      <c r="E353" s="67"/>
      <c r="F353" s="54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8.75" customHeight="1">
      <c r="A354" s="75"/>
      <c r="B354" s="54"/>
      <c r="C354" s="54"/>
      <c r="D354" s="67"/>
      <c r="E354" s="67"/>
      <c r="F354" s="54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8.75" customHeight="1">
      <c r="A355" s="75"/>
      <c r="B355" s="54"/>
      <c r="C355" s="54"/>
      <c r="D355" s="67"/>
      <c r="E355" s="67"/>
      <c r="F355" s="54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8.75" customHeight="1">
      <c r="A356" s="75"/>
      <c r="B356" s="54"/>
      <c r="C356" s="54"/>
      <c r="D356" s="67"/>
      <c r="E356" s="67"/>
      <c r="F356" s="54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8.75" customHeight="1">
      <c r="A357" s="75"/>
      <c r="B357" s="54"/>
      <c r="C357" s="54"/>
      <c r="D357" s="67"/>
      <c r="E357" s="67"/>
      <c r="F357" s="54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8.75" customHeight="1">
      <c r="A358" s="75"/>
      <c r="B358" s="54"/>
      <c r="C358" s="54"/>
      <c r="D358" s="67"/>
      <c r="E358" s="67"/>
      <c r="F358" s="54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8.75" customHeight="1">
      <c r="A359" s="75"/>
      <c r="B359" s="54"/>
      <c r="C359" s="54"/>
      <c r="D359" s="67"/>
      <c r="E359" s="67"/>
      <c r="F359" s="54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8.75" customHeight="1">
      <c r="A360" s="75"/>
      <c r="B360" s="54"/>
      <c r="C360" s="54"/>
      <c r="D360" s="67"/>
      <c r="E360" s="67"/>
      <c r="F360" s="54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8.75" customHeight="1">
      <c r="A361" s="75"/>
      <c r="B361" s="54"/>
      <c r="C361" s="54"/>
      <c r="D361" s="67"/>
      <c r="E361" s="67"/>
      <c r="F361" s="54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8.75" customHeight="1">
      <c r="A362" s="75"/>
      <c r="B362" s="54"/>
      <c r="C362" s="54"/>
      <c r="D362" s="67"/>
      <c r="E362" s="67"/>
      <c r="F362" s="54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8.75" customHeight="1">
      <c r="A363" s="75"/>
      <c r="B363" s="54"/>
      <c r="C363" s="54"/>
      <c r="D363" s="67"/>
      <c r="E363" s="67"/>
      <c r="F363" s="54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8.75" customHeight="1">
      <c r="A364" s="75"/>
      <c r="B364" s="54"/>
      <c r="C364" s="54"/>
      <c r="D364" s="67"/>
      <c r="E364" s="67"/>
      <c r="F364" s="54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8.75" customHeight="1">
      <c r="A365" s="75"/>
      <c r="B365" s="54"/>
      <c r="C365" s="54"/>
      <c r="D365" s="67"/>
      <c r="E365" s="67"/>
      <c r="F365" s="54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8.75" customHeight="1">
      <c r="A366" s="75"/>
      <c r="B366" s="54"/>
      <c r="C366" s="54"/>
      <c r="D366" s="67"/>
      <c r="E366" s="67"/>
      <c r="F366" s="54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8.75" customHeight="1">
      <c r="A367" s="75"/>
      <c r="B367" s="54"/>
      <c r="C367" s="54"/>
      <c r="D367" s="67"/>
      <c r="E367" s="67"/>
      <c r="F367" s="54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8.75" customHeight="1">
      <c r="A368" s="75"/>
      <c r="B368" s="54"/>
      <c r="C368" s="54"/>
      <c r="D368" s="67"/>
      <c r="E368" s="67"/>
      <c r="F368" s="54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8.75" customHeight="1">
      <c r="A369" s="75"/>
      <c r="B369" s="54"/>
      <c r="C369" s="54"/>
      <c r="D369" s="67"/>
      <c r="E369" s="67"/>
      <c r="F369" s="54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8.75" customHeight="1">
      <c r="A370" s="75"/>
      <c r="B370" s="54"/>
      <c r="C370" s="54"/>
      <c r="D370" s="67"/>
      <c r="E370" s="67"/>
      <c r="F370" s="54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8.75" customHeight="1">
      <c r="A371" s="75"/>
      <c r="B371" s="54"/>
      <c r="C371" s="54"/>
      <c r="D371" s="67"/>
      <c r="E371" s="67"/>
      <c r="F371" s="54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8.75" customHeight="1">
      <c r="A372" s="75"/>
      <c r="B372" s="54"/>
      <c r="C372" s="54"/>
      <c r="D372" s="67"/>
      <c r="E372" s="67"/>
      <c r="F372" s="54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8.75" customHeight="1">
      <c r="A373" s="75"/>
      <c r="B373" s="54"/>
      <c r="C373" s="54"/>
      <c r="D373" s="67"/>
      <c r="E373" s="67"/>
      <c r="F373" s="54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8.75" customHeight="1">
      <c r="A374" s="75"/>
      <c r="B374" s="54"/>
      <c r="C374" s="54"/>
      <c r="D374" s="67"/>
      <c r="E374" s="67"/>
      <c r="F374" s="54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8.75" customHeight="1">
      <c r="A375" s="75"/>
      <c r="B375" s="54"/>
      <c r="C375" s="54"/>
      <c r="D375" s="67"/>
      <c r="E375" s="67"/>
      <c r="F375" s="54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8.75" customHeight="1">
      <c r="A376" s="75"/>
      <c r="B376" s="54"/>
      <c r="C376" s="54"/>
      <c r="D376" s="67"/>
      <c r="E376" s="67"/>
      <c r="F376" s="54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8.75" customHeight="1">
      <c r="A377" s="75"/>
      <c r="B377" s="54"/>
      <c r="C377" s="54"/>
      <c r="D377" s="67"/>
      <c r="E377" s="67"/>
      <c r="F377" s="54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8.75" customHeight="1">
      <c r="A378" s="75"/>
      <c r="B378" s="54"/>
      <c r="C378" s="54"/>
      <c r="D378" s="67"/>
      <c r="E378" s="67"/>
      <c r="F378" s="54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8.75" customHeight="1">
      <c r="A379" s="75"/>
      <c r="B379" s="54"/>
      <c r="C379" s="54"/>
      <c r="D379" s="67"/>
      <c r="E379" s="67"/>
      <c r="F379" s="54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8.75" customHeight="1">
      <c r="A380" s="75"/>
      <c r="B380" s="54"/>
      <c r="C380" s="54"/>
      <c r="D380" s="67"/>
      <c r="E380" s="67"/>
      <c r="F380" s="54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8.75" customHeight="1">
      <c r="A381" s="75"/>
      <c r="B381" s="54"/>
      <c r="C381" s="54"/>
      <c r="D381" s="67"/>
      <c r="E381" s="67"/>
      <c r="F381" s="54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8.75" customHeight="1">
      <c r="A382" s="75"/>
      <c r="B382" s="54"/>
      <c r="C382" s="54"/>
      <c r="D382" s="67"/>
      <c r="E382" s="67"/>
      <c r="F382" s="54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8.75" customHeight="1">
      <c r="A383" s="75"/>
      <c r="B383" s="54"/>
      <c r="C383" s="54"/>
      <c r="D383" s="67"/>
      <c r="E383" s="67"/>
      <c r="F383" s="54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8.75" customHeight="1">
      <c r="A384" s="75"/>
      <c r="B384" s="54"/>
      <c r="C384" s="54"/>
      <c r="D384" s="67"/>
      <c r="E384" s="67"/>
      <c r="F384" s="54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8.75" customHeight="1">
      <c r="A385" s="75"/>
      <c r="B385" s="54"/>
      <c r="C385" s="54"/>
      <c r="D385" s="67"/>
      <c r="E385" s="67"/>
      <c r="F385" s="54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8.75" customHeight="1">
      <c r="A386" s="75"/>
      <c r="B386" s="54"/>
      <c r="C386" s="54"/>
      <c r="D386" s="67"/>
      <c r="E386" s="67"/>
      <c r="F386" s="54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8.75" customHeight="1">
      <c r="A387" s="75"/>
      <c r="B387" s="54"/>
      <c r="C387" s="54"/>
      <c r="D387" s="67"/>
      <c r="E387" s="67"/>
      <c r="F387" s="54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8.75" customHeight="1">
      <c r="A388" s="75"/>
      <c r="B388" s="54"/>
      <c r="C388" s="54"/>
      <c r="D388" s="67"/>
      <c r="E388" s="67"/>
      <c r="F388" s="54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8.75" customHeight="1">
      <c r="A389" s="75"/>
      <c r="B389" s="54"/>
      <c r="C389" s="54"/>
      <c r="D389" s="67"/>
      <c r="E389" s="67"/>
      <c r="F389" s="54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8.75" customHeight="1">
      <c r="A390" s="75"/>
      <c r="B390" s="54"/>
      <c r="C390" s="54"/>
      <c r="D390" s="67"/>
      <c r="E390" s="67"/>
      <c r="F390" s="54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8.75" customHeight="1">
      <c r="A391" s="75"/>
      <c r="B391" s="54"/>
      <c r="C391" s="54"/>
      <c r="D391" s="67"/>
      <c r="E391" s="67"/>
      <c r="F391" s="54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8.75" customHeight="1">
      <c r="A392" s="75"/>
      <c r="B392" s="54"/>
      <c r="C392" s="54"/>
      <c r="D392" s="67"/>
      <c r="E392" s="67"/>
      <c r="F392" s="54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8.75" customHeight="1">
      <c r="A393" s="75"/>
      <c r="B393" s="54"/>
      <c r="C393" s="54"/>
      <c r="D393" s="67"/>
      <c r="E393" s="67"/>
      <c r="F393" s="54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8.75" customHeight="1">
      <c r="A394" s="75"/>
      <c r="B394" s="54"/>
      <c r="C394" s="54"/>
      <c r="D394" s="67"/>
      <c r="E394" s="67"/>
      <c r="F394" s="54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8.75" customHeight="1">
      <c r="A395" s="75"/>
      <c r="B395" s="54"/>
      <c r="C395" s="54"/>
      <c r="D395" s="67"/>
      <c r="E395" s="67"/>
      <c r="F395" s="54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8.75" customHeight="1">
      <c r="A396" s="75"/>
      <c r="B396" s="54"/>
      <c r="C396" s="54"/>
      <c r="D396" s="67"/>
      <c r="E396" s="67"/>
      <c r="F396" s="54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8.75" customHeight="1">
      <c r="A397" s="75"/>
      <c r="B397" s="54"/>
      <c r="C397" s="54"/>
      <c r="D397" s="67"/>
      <c r="E397" s="67"/>
      <c r="F397" s="54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8.75" customHeight="1">
      <c r="A398" s="75"/>
      <c r="B398" s="54"/>
      <c r="C398" s="54"/>
      <c r="D398" s="67"/>
      <c r="E398" s="67"/>
      <c r="F398" s="54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8.75" customHeight="1">
      <c r="A399" s="75"/>
      <c r="B399" s="54"/>
      <c r="C399" s="54"/>
      <c r="D399" s="67"/>
      <c r="E399" s="67"/>
      <c r="F399" s="54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8.75" customHeight="1">
      <c r="A400" s="75"/>
      <c r="B400" s="54"/>
      <c r="C400" s="54"/>
      <c r="D400" s="67"/>
      <c r="E400" s="67"/>
      <c r="F400" s="54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8.75" customHeight="1">
      <c r="A401" s="75"/>
      <c r="B401" s="54"/>
      <c r="C401" s="54"/>
      <c r="D401" s="67"/>
      <c r="E401" s="67"/>
      <c r="F401" s="54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8.75" customHeight="1">
      <c r="A402" s="75"/>
      <c r="B402" s="54"/>
      <c r="C402" s="54"/>
      <c r="D402" s="67"/>
      <c r="E402" s="67"/>
      <c r="F402" s="54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8.75" customHeight="1">
      <c r="A403" s="75"/>
      <c r="B403" s="54"/>
      <c r="C403" s="54"/>
      <c r="D403" s="67"/>
      <c r="E403" s="67"/>
      <c r="F403" s="54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8.75" customHeight="1">
      <c r="A404" s="75"/>
      <c r="B404" s="54"/>
      <c r="C404" s="54"/>
      <c r="D404" s="67"/>
      <c r="E404" s="67"/>
      <c r="F404" s="54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8.75" customHeight="1">
      <c r="A405" s="75"/>
      <c r="B405" s="54"/>
      <c r="C405" s="54"/>
      <c r="D405" s="67"/>
      <c r="E405" s="67"/>
      <c r="F405" s="54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8.75" customHeight="1">
      <c r="A406" s="75"/>
      <c r="B406" s="54"/>
      <c r="C406" s="54"/>
      <c r="D406" s="67"/>
      <c r="E406" s="67"/>
      <c r="F406" s="54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8.75" customHeight="1">
      <c r="A407" s="75"/>
      <c r="B407" s="54"/>
      <c r="C407" s="54"/>
      <c r="D407" s="67"/>
      <c r="E407" s="67"/>
      <c r="F407" s="54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8.75" customHeight="1">
      <c r="A408" s="75"/>
      <c r="B408" s="54"/>
      <c r="C408" s="54"/>
      <c r="D408" s="67"/>
      <c r="E408" s="67"/>
      <c r="F408" s="54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8.75" customHeight="1">
      <c r="A409" s="75"/>
      <c r="B409" s="54"/>
      <c r="C409" s="54"/>
      <c r="D409" s="67"/>
      <c r="E409" s="67"/>
      <c r="F409" s="54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8.75" customHeight="1">
      <c r="A410" s="75"/>
      <c r="B410" s="54"/>
      <c r="C410" s="54"/>
      <c r="D410" s="67"/>
      <c r="E410" s="67"/>
      <c r="F410" s="54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8.75" customHeight="1">
      <c r="A411" s="75"/>
      <c r="B411" s="54"/>
      <c r="C411" s="54"/>
      <c r="D411" s="67"/>
      <c r="E411" s="67"/>
      <c r="F411" s="54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8.75" customHeight="1">
      <c r="A412" s="75"/>
      <c r="B412" s="54"/>
      <c r="C412" s="54"/>
      <c r="D412" s="67"/>
      <c r="E412" s="67"/>
      <c r="F412" s="54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8.75" customHeight="1">
      <c r="A413" s="75"/>
      <c r="B413" s="54"/>
      <c r="C413" s="54"/>
      <c r="D413" s="67"/>
      <c r="E413" s="67"/>
      <c r="F413" s="54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8.75" customHeight="1">
      <c r="A414" s="75"/>
      <c r="B414" s="54"/>
      <c r="C414" s="54"/>
      <c r="D414" s="67"/>
      <c r="E414" s="67"/>
      <c r="F414" s="54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8.75" customHeight="1">
      <c r="A415" s="75"/>
      <c r="B415" s="54"/>
      <c r="C415" s="54"/>
      <c r="D415" s="67"/>
      <c r="E415" s="67"/>
      <c r="F415" s="54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8.75" customHeight="1">
      <c r="A416" s="75"/>
      <c r="B416" s="54"/>
      <c r="C416" s="54"/>
      <c r="D416" s="67"/>
      <c r="E416" s="67"/>
      <c r="F416" s="54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8.75" customHeight="1">
      <c r="A417" s="75"/>
      <c r="B417" s="54"/>
      <c r="C417" s="54"/>
      <c r="D417" s="67"/>
      <c r="E417" s="67"/>
      <c r="F417" s="54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8.75" customHeight="1">
      <c r="A418" s="75"/>
      <c r="B418" s="54"/>
      <c r="C418" s="54"/>
      <c r="D418" s="67"/>
      <c r="E418" s="67"/>
      <c r="F418" s="54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8.75" customHeight="1">
      <c r="A419" s="75"/>
      <c r="B419" s="54"/>
      <c r="C419" s="54"/>
      <c r="D419" s="67"/>
      <c r="E419" s="67"/>
      <c r="F419" s="54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8.75" customHeight="1">
      <c r="A420" s="75"/>
      <c r="B420" s="54"/>
      <c r="C420" s="54"/>
      <c r="D420" s="67"/>
      <c r="E420" s="67"/>
      <c r="F420" s="54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8.75" customHeight="1">
      <c r="A421" s="75"/>
      <c r="B421" s="54"/>
      <c r="C421" s="54"/>
      <c r="D421" s="67"/>
      <c r="E421" s="67"/>
      <c r="F421" s="54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8.75" customHeight="1">
      <c r="A422" s="75"/>
      <c r="B422" s="54"/>
      <c r="C422" s="54"/>
      <c r="D422" s="67"/>
      <c r="E422" s="67"/>
      <c r="F422" s="54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8.75" customHeight="1">
      <c r="A423" s="75"/>
      <c r="B423" s="54"/>
      <c r="C423" s="54"/>
      <c r="D423" s="67"/>
      <c r="E423" s="67"/>
      <c r="F423" s="54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8.75" customHeight="1">
      <c r="A424" s="75"/>
      <c r="B424" s="54"/>
      <c r="C424" s="54"/>
      <c r="D424" s="67"/>
      <c r="E424" s="67"/>
      <c r="F424" s="54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8.75" customHeight="1">
      <c r="A425" s="75"/>
      <c r="B425" s="54"/>
      <c r="C425" s="54"/>
      <c r="D425" s="67"/>
      <c r="E425" s="67"/>
      <c r="F425" s="54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8.75" customHeight="1">
      <c r="A426" s="75"/>
      <c r="B426" s="54"/>
      <c r="C426" s="54"/>
      <c r="D426" s="67"/>
      <c r="E426" s="67"/>
      <c r="F426" s="54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8.75" customHeight="1">
      <c r="A427" s="75"/>
      <c r="B427" s="54"/>
      <c r="C427" s="54"/>
      <c r="D427" s="67"/>
      <c r="E427" s="67"/>
      <c r="F427" s="54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8.75" customHeight="1">
      <c r="A428" s="75"/>
      <c r="B428" s="54"/>
      <c r="C428" s="54"/>
      <c r="D428" s="67"/>
      <c r="E428" s="67"/>
      <c r="F428" s="54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8.75" customHeight="1">
      <c r="A429" s="75"/>
      <c r="B429" s="54"/>
      <c r="C429" s="54"/>
      <c r="D429" s="67"/>
      <c r="E429" s="67"/>
      <c r="F429" s="54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8.75" customHeight="1">
      <c r="A430" s="75"/>
      <c r="B430" s="54"/>
      <c r="C430" s="54"/>
      <c r="D430" s="67"/>
      <c r="E430" s="67"/>
      <c r="F430" s="54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8.75" customHeight="1">
      <c r="A431" s="75"/>
      <c r="B431" s="54"/>
      <c r="C431" s="54"/>
      <c r="D431" s="67"/>
      <c r="E431" s="67"/>
      <c r="F431" s="54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8.75" customHeight="1">
      <c r="A432" s="75"/>
      <c r="B432" s="54"/>
      <c r="C432" s="54"/>
      <c r="D432" s="67"/>
      <c r="E432" s="67"/>
      <c r="F432" s="54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8.75" customHeight="1">
      <c r="A433" s="75"/>
      <c r="B433" s="54"/>
      <c r="C433" s="54"/>
      <c r="D433" s="67"/>
      <c r="E433" s="67"/>
      <c r="F433" s="54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8.75" customHeight="1">
      <c r="A434" s="75"/>
      <c r="B434" s="54"/>
      <c r="C434" s="54"/>
      <c r="D434" s="67"/>
      <c r="E434" s="67"/>
      <c r="F434" s="54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8.75" customHeight="1">
      <c r="A435" s="75"/>
      <c r="B435" s="54"/>
      <c r="C435" s="54"/>
      <c r="D435" s="67"/>
      <c r="E435" s="67"/>
      <c r="F435" s="54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8.75" customHeight="1">
      <c r="A436" s="75"/>
      <c r="B436" s="54"/>
      <c r="C436" s="54"/>
      <c r="D436" s="67"/>
      <c r="E436" s="67"/>
      <c r="F436" s="54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8.75" customHeight="1">
      <c r="A437" s="75"/>
      <c r="B437" s="54"/>
      <c r="C437" s="54"/>
      <c r="D437" s="67"/>
      <c r="E437" s="67"/>
      <c r="F437" s="54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8.75" customHeight="1">
      <c r="A438" s="75"/>
      <c r="B438" s="54"/>
      <c r="C438" s="54"/>
      <c r="D438" s="67"/>
      <c r="E438" s="67"/>
      <c r="F438" s="54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8.75" customHeight="1">
      <c r="A439" s="75"/>
      <c r="B439" s="54"/>
      <c r="C439" s="54"/>
      <c r="D439" s="67"/>
      <c r="E439" s="67"/>
      <c r="F439" s="54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8.75" customHeight="1">
      <c r="A440" s="75"/>
      <c r="B440" s="54"/>
      <c r="C440" s="54"/>
      <c r="D440" s="67"/>
      <c r="E440" s="67"/>
      <c r="F440" s="54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8.75" customHeight="1">
      <c r="A441" s="75"/>
      <c r="B441" s="54"/>
      <c r="C441" s="54"/>
      <c r="D441" s="67"/>
      <c r="E441" s="67"/>
      <c r="F441" s="54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8.75" customHeight="1">
      <c r="A442" s="75"/>
      <c r="B442" s="54"/>
      <c r="C442" s="54"/>
      <c r="D442" s="67"/>
      <c r="E442" s="67"/>
      <c r="F442" s="54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8.75" customHeight="1">
      <c r="A443" s="75"/>
      <c r="B443" s="54"/>
      <c r="C443" s="54"/>
      <c r="D443" s="67"/>
      <c r="E443" s="67"/>
      <c r="F443" s="54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8.75" customHeight="1">
      <c r="A444" s="75"/>
      <c r="B444" s="54"/>
      <c r="C444" s="54"/>
      <c r="D444" s="67"/>
      <c r="E444" s="67"/>
      <c r="F444" s="54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8.75" customHeight="1">
      <c r="A445" s="75"/>
      <c r="B445" s="54"/>
      <c r="C445" s="54"/>
      <c r="D445" s="67"/>
      <c r="E445" s="67"/>
      <c r="F445" s="54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8.75" customHeight="1">
      <c r="A446" s="75"/>
      <c r="B446" s="54"/>
      <c r="C446" s="54"/>
      <c r="D446" s="67"/>
      <c r="E446" s="67"/>
      <c r="F446" s="54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8.75" customHeight="1">
      <c r="A447" s="75"/>
      <c r="B447" s="54"/>
      <c r="C447" s="54"/>
      <c r="D447" s="67"/>
      <c r="E447" s="67"/>
      <c r="F447" s="54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8.75" customHeight="1">
      <c r="A448" s="75"/>
      <c r="B448" s="54"/>
      <c r="C448" s="54"/>
      <c r="D448" s="67"/>
      <c r="E448" s="67"/>
      <c r="F448" s="54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8.75" customHeight="1">
      <c r="A449" s="75"/>
      <c r="B449" s="54"/>
      <c r="C449" s="54"/>
      <c r="D449" s="67"/>
      <c r="E449" s="67"/>
      <c r="F449" s="54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8.75" customHeight="1">
      <c r="A450" s="75"/>
      <c r="B450" s="54"/>
      <c r="C450" s="54"/>
      <c r="D450" s="67"/>
      <c r="E450" s="67"/>
      <c r="F450" s="54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8.75" customHeight="1">
      <c r="A451" s="75"/>
      <c r="B451" s="54"/>
      <c r="C451" s="54"/>
      <c r="D451" s="67"/>
      <c r="E451" s="67"/>
      <c r="F451" s="54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8.75" customHeight="1">
      <c r="A452" s="75"/>
      <c r="B452" s="54"/>
      <c r="C452" s="54"/>
      <c r="D452" s="67"/>
      <c r="E452" s="67"/>
      <c r="F452" s="54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8.75" customHeight="1">
      <c r="A453" s="75"/>
      <c r="B453" s="54"/>
      <c r="C453" s="54"/>
      <c r="D453" s="67"/>
      <c r="E453" s="67"/>
      <c r="F453" s="54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8.75" customHeight="1">
      <c r="A454" s="75"/>
      <c r="B454" s="54"/>
      <c r="C454" s="54"/>
      <c r="D454" s="67"/>
      <c r="E454" s="67"/>
      <c r="F454" s="54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8.75" customHeight="1">
      <c r="A455" s="75"/>
      <c r="B455" s="54"/>
      <c r="C455" s="54"/>
      <c r="D455" s="67"/>
      <c r="E455" s="67"/>
      <c r="F455" s="54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8.75" customHeight="1">
      <c r="A456" s="75"/>
      <c r="B456" s="54"/>
      <c r="C456" s="54"/>
      <c r="D456" s="67"/>
      <c r="E456" s="67"/>
      <c r="F456" s="54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8.75" customHeight="1">
      <c r="A457" s="75"/>
      <c r="B457" s="54"/>
      <c r="C457" s="54"/>
      <c r="D457" s="67"/>
      <c r="E457" s="67"/>
      <c r="F457" s="54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8.75" customHeight="1">
      <c r="A458" s="75"/>
      <c r="B458" s="54"/>
      <c r="C458" s="54"/>
      <c r="D458" s="67"/>
      <c r="E458" s="67"/>
      <c r="F458" s="54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8.75" customHeight="1">
      <c r="A459" s="75"/>
      <c r="B459" s="54"/>
      <c r="C459" s="54"/>
      <c r="D459" s="67"/>
      <c r="E459" s="67"/>
      <c r="F459" s="54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8.75" customHeight="1">
      <c r="A460" s="75"/>
      <c r="B460" s="54"/>
      <c r="C460" s="54"/>
      <c r="D460" s="67"/>
      <c r="E460" s="67"/>
      <c r="F460" s="54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8.75" customHeight="1">
      <c r="A461" s="75"/>
      <c r="B461" s="54"/>
      <c r="C461" s="54"/>
      <c r="D461" s="67"/>
      <c r="E461" s="67"/>
      <c r="F461" s="54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8.75" customHeight="1">
      <c r="A462" s="75"/>
      <c r="B462" s="54"/>
      <c r="C462" s="54"/>
      <c r="D462" s="67"/>
      <c r="E462" s="67"/>
      <c r="F462" s="54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8.75" customHeight="1">
      <c r="A463" s="75"/>
      <c r="B463" s="54"/>
      <c r="C463" s="54"/>
      <c r="D463" s="67"/>
      <c r="E463" s="67"/>
      <c r="F463" s="54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8.75" customHeight="1">
      <c r="A464" s="75"/>
      <c r="B464" s="54"/>
      <c r="C464" s="54"/>
      <c r="D464" s="67"/>
      <c r="E464" s="67"/>
      <c r="F464" s="54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8.75" customHeight="1">
      <c r="A465" s="75"/>
      <c r="B465" s="54"/>
      <c r="C465" s="54"/>
      <c r="D465" s="67"/>
      <c r="E465" s="67"/>
      <c r="F465" s="54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8.75" customHeight="1">
      <c r="A466" s="75"/>
      <c r="B466" s="54"/>
      <c r="C466" s="54"/>
      <c r="D466" s="67"/>
      <c r="E466" s="67"/>
      <c r="F466" s="54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8.75" customHeight="1">
      <c r="A467" s="75"/>
      <c r="B467" s="54"/>
      <c r="C467" s="54"/>
      <c r="D467" s="67"/>
      <c r="E467" s="67"/>
      <c r="F467" s="54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8.75" customHeight="1">
      <c r="A468" s="75"/>
      <c r="B468" s="54"/>
      <c r="C468" s="54"/>
      <c r="D468" s="67"/>
      <c r="E468" s="67"/>
      <c r="F468" s="54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8.75" customHeight="1">
      <c r="A469" s="75"/>
      <c r="B469" s="54"/>
      <c r="C469" s="54"/>
      <c r="D469" s="67"/>
      <c r="E469" s="67"/>
      <c r="F469" s="54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8.75" customHeight="1">
      <c r="A470" s="75"/>
      <c r="B470" s="54"/>
      <c r="C470" s="54"/>
      <c r="D470" s="67"/>
      <c r="E470" s="67"/>
      <c r="F470" s="54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8.75" customHeight="1">
      <c r="A471" s="75"/>
      <c r="B471" s="54"/>
      <c r="C471" s="54"/>
      <c r="D471" s="67"/>
      <c r="E471" s="67"/>
      <c r="F471" s="54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8.75" customHeight="1">
      <c r="A472" s="75"/>
      <c r="B472" s="54"/>
      <c r="C472" s="54"/>
      <c r="D472" s="67"/>
      <c r="E472" s="67"/>
      <c r="F472" s="54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8.75" customHeight="1">
      <c r="A473" s="75"/>
      <c r="B473" s="54"/>
      <c r="C473" s="54"/>
      <c r="D473" s="67"/>
      <c r="E473" s="67"/>
      <c r="F473" s="54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8.75" customHeight="1">
      <c r="A474" s="75"/>
      <c r="B474" s="54"/>
      <c r="C474" s="54"/>
      <c r="D474" s="67"/>
      <c r="E474" s="67"/>
      <c r="F474" s="54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8.75" customHeight="1">
      <c r="A475" s="75"/>
      <c r="B475" s="54"/>
      <c r="C475" s="54"/>
      <c r="D475" s="67"/>
      <c r="E475" s="67"/>
      <c r="F475" s="54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8.75" customHeight="1">
      <c r="A476" s="75"/>
      <c r="B476" s="54"/>
      <c r="C476" s="54"/>
      <c r="D476" s="67"/>
      <c r="E476" s="67"/>
      <c r="F476" s="54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8.75" customHeight="1">
      <c r="A477" s="75"/>
      <c r="B477" s="54"/>
      <c r="C477" s="54"/>
      <c r="D477" s="67"/>
      <c r="E477" s="67"/>
      <c r="F477" s="54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8.75" customHeight="1">
      <c r="A478" s="75"/>
      <c r="B478" s="54"/>
      <c r="C478" s="54"/>
      <c r="D478" s="67"/>
      <c r="E478" s="67"/>
      <c r="F478" s="54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8.75" customHeight="1">
      <c r="A479" s="75"/>
      <c r="B479" s="54"/>
      <c r="C479" s="54"/>
      <c r="D479" s="67"/>
      <c r="E479" s="67"/>
      <c r="F479" s="54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8.75" customHeight="1">
      <c r="A480" s="75"/>
      <c r="B480" s="54"/>
      <c r="C480" s="54"/>
      <c r="D480" s="67"/>
      <c r="E480" s="67"/>
      <c r="F480" s="54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8.75" customHeight="1">
      <c r="A481" s="75"/>
      <c r="B481" s="54"/>
      <c r="C481" s="54"/>
      <c r="D481" s="67"/>
      <c r="E481" s="67"/>
      <c r="F481" s="54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8.75" customHeight="1">
      <c r="A482" s="75"/>
      <c r="B482" s="54"/>
      <c r="C482" s="54"/>
      <c r="D482" s="67"/>
      <c r="E482" s="67"/>
      <c r="F482" s="54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8.75" customHeight="1">
      <c r="A483" s="75"/>
      <c r="B483" s="54"/>
      <c r="C483" s="54"/>
      <c r="D483" s="67"/>
      <c r="E483" s="67"/>
      <c r="F483" s="54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8.75" customHeight="1">
      <c r="A484" s="75"/>
      <c r="B484" s="54"/>
      <c r="C484" s="54"/>
      <c r="D484" s="67"/>
      <c r="E484" s="67"/>
      <c r="F484" s="54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8.75" customHeight="1">
      <c r="A485" s="75"/>
      <c r="B485" s="54"/>
      <c r="C485" s="54"/>
      <c r="D485" s="67"/>
      <c r="E485" s="67"/>
      <c r="F485" s="54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8.75" customHeight="1">
      <c r="A486" s="75"/>
      <c r="B486" s="54"/>
      <c r="C486" s="54"/>
      <c r="D486" s="67"/>
      <c r="E486" s="67"/>
      <c r="F486" s="54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8.75" customHeight="1">
      <c r="A487" s="75"/>
      <c r="B487" s="54"/>
      <c r="C487" s="54"/>
      <c r="D487" s="67"/>
      <c r="E487" s="67"/>
      <c r="F487" s="54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8.75" customHeight="1">
      <c r="A488" s="75"/>
      <c r="B488" s="54"/>
      <c r="C488" s="54"/>
      <c r="D488" s="67"/>
      <c r="E488" s="67"/>
      <c r="F488" s="54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8.75" customHeight="1">
      <c r="A489" s="75"/>
      <c r="B489" s="54"/>
      <c r="C489" s="54"/>
      <c r="D489" s="67"/>
      <c r="E489" s="67"/>
      <c r="F489" s="54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8.75" customHeight="1">
      <c r="A490" s="75"/>
      <c r="B490" s="54"/>
      <c r="C490" s="54"/>
      <c r="D490" s="67"/>
      <c r="E490" s="67"/>
      <c r="F490" s="54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8.75" customHeight="1">
      <c r="A491" s="75"/>
      <c r="B491" s="54"/>
      <c r="C491" s="54"/>
      <c r="D491" s="67"/>
      <c r="E491" s="67"/>
      <c r="F491" s="54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8.75" customHeight="1">
      <c r="A492" s="75"/>
      <c r="B492" s="54"/>
      <c r="C492" s="54"/>
      <c r="D492" s="67"/>
      <c r="E492" s="67"/>
      <c r="F492" s="54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8.75" customHeight="1">
      <c r="A493" s="75"/>
      <c r="B493" s="54"/>
      <c r="C493" s="54"/>
      <c r="D493" s="67"/>
      <c r="E493" s="67"/>
      <c r="F493" s="54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8.75" customHeight="1">
      <c r="A494" s="75"/>
      <c r="B494" s="54"/>
      <c r="C494" s="54"/>
      <c r="D494" s="67"/>
      <c r="E494" s="67"/>
      <c r="F494" s="54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8.75" customHeight="1">
      <c r="A495" s="75"/>
      <c r="B495" s="54"/>
      <c r="C495" s="54"/>
      <c r="D495" s="67"/>
      <c r="E495" s="67"/>
      <c r="F495" s="54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8.75" customHeight="1">
      <c r="A496" s="75"/>
      <c r="B496" s="54"/>
      <c r="C496" s="54"/>
      <c r="D496" s="67"/>
      <c r="E496" s="67"/>
      <c r="F496" s="54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8.75" customHeight="1">
      <c r="A497" s="75"/>
      <c r="B497" s="54"/>
      <c r="C497" s="54"/>
      <c r="D497" s="67"/>
      <c r="E497" s="67"/>
      <c r="F497" s="54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8.75" customHeight="1">
      <c r="A498" s="75"/>
      <c r="B498" s="54"/>
      <c r="C498" s="54"/>
      <c r="D498" s="67"/>
      <c r="E498" s="67"/>
      <c r="F498" s="54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8.75" customHeight="1">
      <c r="A499" s="75"/>
      <c r="B499" s="54"/>
      <c r="C499" s="54"/>
      <c r="D499" s="67"/>
      <c r="E499" s="67"/>
      <c r="F499" s="54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8.75" customHeight="1">
      <c r="A500" s="75"/>
      <c r="B500" s="54"/>
      <c r="C500" s="54"/>
      <c r="D500" s="67"/>
      <c r="E500" s="67"/>
      <c r="F500" s="54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8.75" customHeight="1">
      <c r="A501" s="75"/>
      <c r="B501" s="54"/>
      <c r="C501" s="54"/>
      <c r="D501" s="67"/>
      <c r="E501" s="67"/>
      <c r="F501" s="54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8.75" customHeight="1">
      <c r="A502" s="75"/>
      <c r="B502" s="54"/>
      <c r="C502" s="54"/>
      <c r="D502" s="67"/>
      <c r="E502" s="67"/>
      <c r="F502" s="54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8.75" customHeight="1">
      <c r="A503" s="75"/>
      <c r="B503" s="54"/>
      <c r="C503" s="54"/>
      <c r="D503" s="67"/>
      <c r="E503" s="67"/>
      <c r="F503" s="54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8.75" customHeight="1">
      <c r="A504" s="75"/>
      <c r="B504" s="54"/>
      <c r="C504" s="54"/>
      <c r="D504" s="67"/>
      <c r="E504" s="67"/>
      <c r="F504" s="54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8.75" customHeight="1">
      <c r="A505" s="75"/>
      <c r="B505" s="54"/>
      <c r="C505" s="54"/>
      <c r="D505" s="67"/>
      <c r="E505" s="67"/>
      <c r="F505" s="54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8.75" customHeight="1">
      <c r="A506" s="75"/>
      <c r="B506" s="54"/>
      <c r="C506" s="54"/>
      <c r="D506" s="67"/>
      <c r="E506" s="67"/>
      <c r="F506" s="54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8.75" customHeight="1">
      <c r="A507" s="75"/>
      <c r="B507" s="54"/>
      <c r="C507" s="54"/>
      <c r="D507" s="67"/>
      <c r="E507" s="67"/>
      <c r="F507" s="54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8.75" customHeight="1">
      <c r="A508" s="75"/>
      <c r="B508" s="54"/>
      <c r="C508" s="54"/>
      <c r="D508" s="67"/>
      <c r="E508" s="67"/>
      <c r="F508" s="54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8.75" customHeight="1">
      <c r="A509" s="75"/>
      <c r="B509" s="54"/>
      <c r="C509" s="54"/>
      <c r="D509" s="67"/>
      <c r="E509" s="67"/>
      <c r="F509" s="54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8.75" customHeight="1">
      <c r="A510" s="75"/>
      <c r="B510" s="54"/>
      <c r="C510" s="54"/>
      <c r="D510" s="67"/>
      <c r="E510" s="67"/>
      <c r="F510" s="54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8.75" customHeight="1">
      <c r="A511" s="75"/>
      <c r="B511" s="54"/>
      <c r="C511" s="54"/>
      <c r="D511" s="67"/>
      <c r="E511" s="67"/>
      <c r="F511" s="54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8.75" customHeight="1">
      <c r="A512" s="75"/>
      <c r="B512" s="54"/>
      <c r="C512" s="54"/>
      <c r="D512" s="67"/>
      <c r="E512" s="67"/>
      <c r="F512" s="54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8.75" customHeight="1">
      <c r="A513" s="75"/>
      <c r="B513" s="54"/>
      <c r="C513" s="54"/>
      <c r="D513" s="67"/>
      <c r="E513" s="67"/>
      <c r="F513" s="54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8.75" customHeight="1">
      <c r="A514" s="75"/>
      <c r="B514" s="54"/>
      <c r="C514" s="54"/>
      <c r="D514" s="67"/>
      <c r="E514" s="67"/>
      <c r="F514" s="54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8.75" customHeight="1">
      <c r="A515" s="75"/>
      <c r="B515" s="54"/>
      <c r="C515" s="54"/>
      <c r="D515" s="67"/>
      <c r="E515" s="67"/>
      <c r="F515" s="54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8.75" customHeight="1">
      <c r="A516" s="75"/>
      <c r="B516" s="54"/>
      <c r="C516" s="54"/>
      <c r="D516" s="67"/>
      <c r="E516" s="67"/>
      <c r="F516" s="54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8.75" customHeight="1">
      <c r="A517" s="75"/>
      <c r="B517" s="54"/>
      <c r="C517" s="54"/>
      <c r="D517" s="67"/>
      <c r="E517" s="67"/>
      <c r="F517" s="54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8.75" customHeight="1">
      <c r="A518" s="75"/>
      <c r="B518" s="54"/>
      <c r="C518" s="54"/>
      <c r="D518" s="67"/>
      <c r="E518" s="67"/>
      <c r="F518" s="54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8.75" customHeight="1">
      <c r="A519" s="75"/>
      <c r="B519" s="54"/>
      <c r="C519" s="54"/>
      <c r="D519" s="67"/>
      <c r="E519" s="67"/>
      <c r="F519" s="54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8.75" customHeight="1">
      <c r="A520" s="75"/>
      <c r="B520" s="54"/>
      <c r="C520" s="54"/>
      <c r="D520" s="67"/>
      <c r="E520" s="67"/>
      <c r="F520" s="54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8.75" customHeight="1">
      <c r="A521" s="75"/>
      <c r="B521" s="54"/>
      <c r="C521" s="54"/>
      <c r="D521" s="67"/>
      <c r="E521" s="67"/>
      <c r="F521" s="54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8.75" customHeight="1">
      <c r="A522" s="75"/>
      <c r="B522" s="54"/>
      <c r="C522" s="54"/>
      <c r="D522" s="67"/>
      <c r="E522" s="67"/>
      <c r="F522" s="54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8.75" customHeight="1">
      <c r="A523" s="75"/>
      <c r="B523" s="54"/>
      <c r="C523" s="54"/>
      <c r="D523" s="67"/>
      <c r="E523" s="67"/>
      <c r="F523" s="54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8.75" customHeight="1">
      <c r="A524" s="75"/>
      <c r="B524" s="54"/>
      <c r="C524" s="54"/>
      <c r="D524" s="67"/>
      <c r="E524" s="67"/>
      <c r="F524" s="54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8.75" customHeight="1">
      <c r="A525" s="75"/>
      <c r="B525" s="54"/>
      <c r="C525" s="54"/>
      <c r="D525" s="67"/>
      <c r="E525" s="67"/>
      <c r="F525" s="54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8.75" customHeight="1">
      <c r="A526" s="75"/>
      <c r="B526" s="54"/>
      <c r="C526" s="54"/>
      <c r="D526" s="67"/>
      <c r="E526" s="67"/>
      <c r="F526" s="54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8.75" customHeight="1">
      <c r="A527" s="75"/>
      <c r="B527" s="54"/>
      <c r="C527" s="54"/>
      <c r="D527" s="67"/>
      <c r="E527" s="67"/>
      <c r="F527" s="54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8.75" customHeight="1">
      <c r="A528" s="75"/>
      <c r="B528" s="54"/>
      <c r="C528" s="54"/>
      <c r="D528" s="67"/>
      <c r="E528" s="67"/>
      <c r="F528" s="54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8.75" customHeight="1">
      <c r="A529" s="75"/>
      <c r="B529" s="54"/>
      <c r="C529" s="54"/>
      <c r="D529" s="67"/>
      <c r="E529" s="67"/>
      <c r="F529" s="54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8.75" customHeight="1">
      <c r="A530" s="75"/>
      <c r="B530" s="54"/>
      <c r="C530" s="54"/>
      <c r="D530" s="67"/>
      <c r="E530" s="67"/>
      <c r="F530" s="54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8.75" customHeight="1">
      <c r="A531" s="75"/>
      <c r="B531" s="54"/>
      <c r="C531" s="54"/>
      <c r="D531" s="67"/>
      <c r="E531" s="67"/>
      <c r="F531" s="54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8.75" customHeight="1">
      <c r="A532" s="75"/>
      <c r="B532" s="54"/>
      <c r="C532" s="54"/>
      <c r="D532" s="67"/>
      <c r="E532" s="67"/>
      <c r="F532" s="54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8.75" customHeight="1">
      <c r="A533" s="75"/>
      <c r="B533" s="54"/>
      <c r="C533" s="54"/>
      <c r="D533" s="67"/>
      <c r="E533" s="67"/>
      <c r="F533" s="54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8.75" customHeight="1">
      <c r="A534" s="75"/>
      <c r="B534" s="54"/>
      <c r="C534" s="54"/>
      <c r="D534" s="67"/>
      <c r="E534" s="67"/>
      <c r="F534" s="54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8.75" customHeight="1">
      <c r="A535" s="75"/>
      <c r="B535" s="54"/>
      <c r="C535" s="54"/>
      <c r="D535" s="67"/>
      <c r="E535" s="67"/>
      <c r="F535" s="54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8.75" customHeight="1">
      <c r="A536" s="75"/>
      <c r="B536" s="54"/>
      <c r="C536" s="54"/>
      <c r="D536" s="67"/>
      <c r="E536" s="67"/>
      <c r="F536" s="54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8.75" customHeight="1">
      <c r="A537" s="75"/>
      <c r="B537" s="54"/>
      <c r="C537" s="54"/>
      <c r="D537" s="67"/>
      <c r="E537" s="67"/>
      <c r="F537" s="54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8.75" customHeight="1">
      <c r="A538" s="75"/>
      <c r="B538" s="54"/>
      <c r="C538" s="54"/>
      <c r="D538" s="67"/>
      <c r="E538" s="67"/>
      <c r="F538" s="54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8.75" customHeight="1">
      <c r="A539" s="75"/>
      <c r="B539" s="54"/>
      <c r="C539" s="54"/>
      <c r="D539" s="67"/>
      <c r="E539" s="67"/>
      <c r="F539" s="54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8.75" customHeight="1">
      <c r="A540" s="75"/>
      <c r="B540" s="54"/>
      <c r="C540" s="54"/>
      <c r="D540" s="67"/>
      <c r="E540" s="67"/>
      <c r="F540" s="54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8.75" customHeight="1">
      <c r="A541" s="75"/>
      <c r="B541" s="54"/>
      <c r="C541" s="54"/>
      <c r="D541" s="67"/>
      <c r="E541" s="67"/>
      <c r="F541" s="54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8.75" customHeight="1">
      <c r="A542" s="75"/>
      <c r="B542" s="54"/>
      <c r="C542" s="54"/>
      <c r="D542" s="67"/>
      <c r="E542" s="67"/>
      <c r="F542" s="54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8.75" customHeight="1">
      <c r="A543" s="75"/>
      <c r="B543" s="54"/>
      <c r="C543" s="54"/>
      <c r="D543" s="67"/>
      <c r="E543" s="67"/>
      <c r="F543" s="54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8.75" customHeight="1">
      <c r="A544" s="75"/>
      <c r="B544" s="54"/>
      <c r="C544" s="54"/>
      <c r="D544" s="67"/>
      <c r="E544" s="67"/>
      <c r="F544" s="54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8.75" customHeight="1">
      <c r="A545" s="75"/>
      <c r="B545" s="54"/>
      <c r="C545" s="54"/>
      <c r="D545" s="67"/>
      <c r="E545" s="67"/>
      <c r="F545" s="54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8.75" customHeight="1">
      <c r="A546" s="75"/>
      <c r="B546" s="54"/>
      <c r="C546" s="54"/>
      <c r="D546" s="67"/>
      <c r="E546" s="67"/>
      <c r="F546" s="54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8.75" customHeight="1">
      <c r="A547" s="75"/>
      <c r="B547" s="54"/>
      <c r="C547" s="54"/>
      <c r="D547" s="67"/>
      <c r="E547" s="67"/>
      <c r="F547" s="54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8.75" customHeight="1">
      <c r="A548" s="75"/>
      <c r="B548" s="54"/>
      <c r="C548" s="54"/>
      <c r="D548" s="67"/>
      <c r="E548" s="67"/>
      <c r="F548" s="54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8.75" customHeight="1">
      <c r="A549" s="75"/>
      <c r="B549" s="54"/>
      <c r="C549" s="54"/>
      <c r="D549" s="67"/>
      <c r="E549" s="67"/>
      <c r="F549" s="54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8.75" customHeight="1">
      <c r="A550" s="75"/>
      <c r="B550" s="54"/>
      <c r="C550" s="54"/>
      <c r="D550" s="67"/>
      <c r="E550" s="67"/>
      <c r="F550" s="54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8.75" customHeight="1">
      <c r="A551" s="75"/>
      <c r="B551" s="54"/>
      <c r="C551" s="54"/>
      <c r="D551" s="67"/>
      <c r="E551" s="67"/>
      <c r="F551" s="54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8.75" customHeight="1">
      <c r="A552" s="75"/>
      <c r="B552" s="54"/>
      <c r="C552" s="54"/>
      <c r="D552" s="67"/>
      <c r="E552" s="67"/>
      <c r="F552" s="54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8.75" customHeight="1">
      <c r="A553" s="75"/>
      <c r="B553" s="54"/>
      <c r="C553" s="54"/>
      <c r="D553" s="67"/>
      <c r="E553" s="67"/>
      <c r="F553" s="54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8.75" customHeight="1">
      <c r="A554" s="75"/>
      <c r="B554" s="54"/>
      <c r="C554" s="54"/>
      <c r="D554" s="67"/>
      <c r="E554" s="67"/>
      <c r="F554" s="54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8.75" customHeight="1">
      <c r="A555" s="75"/>
      <c r="B555" s="54"/>
      <c r="C555" s="54"/>
      <c r="D555" s="67"/>
      <c r="E555" s="67"/>
      <c r="F555" s="54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8.75" customHeight="1">
      <c r="A556" s="75"/>
      <c r="B556" s="54"/>
      <c r="C556" s="54"/>
      <c r="D556" s="67"/>
      <c r="E556" s="67"/>
      <c r="F556" s="54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8.75" customHeight="1">
      <c r="A557" s="75"/>
      <c r="B557" s="54"/>
      <c r="C557" s="54"/>
      <c r="D557" s="67"/>
      <c r="E557" s="67"/>
      <c r="F557" s="54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8.75" customHeight="1">
      <c r="A558" s="75"/>
      <c r="B558" s="54"/>
      <c r="C558" s="54"/>
      <c r="D558" s="67"/>
      <c r="E558" s="67"/>
      <c r="F558" s="54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8.75" customHeight="1">
      <c r="A559" s="75"/>
      <c r="B559" s="54"/>
      <c r="C559" s="54"/>
      <c r="D559" s="67"/>
      <c r="E559" s="67"/>
      <c r="F559" s="54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8.75" customHeight="1">
      <c r="A560" s="75"/>
      <c r="B560" s="54"/>
      <c r="C560" s="54"/>
      <c r="D560" s="67"/>
      <c r="E560" s="67"/>
      <c r="F560" s="54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8.75" customHeight="1">
      <c r="A561" s="75"/>
      <c r="B561" s="54"/>
      <c r="C561" s="54"/>
      <c r="D561" s="67"/>
      <c r="E561" s="67"/>
      <c r="F561" s="54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8.75" customHeight="1">
      <c r="A562" s="75"/>
      <c r="B562" s="54"/>
      <c r="C562" s="54"/>
      <c r="D562" s="67"/>
      <c r="E562" s="67"/>
      <c r="F562" s="54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8.75" customHeight="1">
      <c r="A563" s="75"/>
      <c r="B563" s="54"/>
      <c r="C563" s="54"/>
      <c r="D563" s="67"/>
      <c r="E563" s="67"/>
      <c r="F563" s="54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8.75" customHeight="1">
      <c r="A564" s="75"/>
      <c r="B564" s="54"/>
      <c r="C564" s="54"/>
      <c r="D564" s="67"/>
      <c r="E564" s="67"/>
      <c r="F564" s="54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8.75" customHeight="1">
      <c r="A565" s="75"/>
      <c r="B565" s="54"/>
      <c r="C565" s="54"/>
      <c r="D565" s="67"/>
      <c r="E565" s="67"/>
      <c r="F565" s="54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8.75" customHeight="1">
      <c r="A566" s="75"/>
      <c r="B566" s="54"/>
      <c r="C566" s="54"/>
      <c r="D566" s="67"/>
      <c r="E566" s="67"/>
      <c r="F566" s="54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8.75" customHeight="1">
      <c r="A567" s="75"/>
      <c r="B567" s="54"/>
      <c r="C567" s="54"/>
      <c r="D567" s="67"/>
      <c r="E567" s="67"/>
      <c r="F567" s="54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8.75" customHeight="1">
      <c r="A568" s="75"/>
      <c r="B568" s="54"/>
      <c r="C568" s="54"/>
      <c r="D568" s="67"/>
      <c r="E568" s="67"/>
      <c r="F568" s="54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8.75" customHeight="1">
      <c r="A569" s="75"/>
      <c r="B569" s="54"/>
      <c r="C569" s="54"/>
      <c r="D569" s="67"/>
      <c r="E569" s="67"/>
      <c r="F569" s="54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8.75" customHeight="1">
      <c r="A570" s="75"/>
      <c r="B570" s="54"/>
      <c r="C570" s="54"/>
      <c r="D570" s="67"/>
      <c r="E570" s="67"/>
      <c r="F570" s="54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8.75" customHeight="1">
      <c r="A571" s="75"/>
      <c r="B571" s="54"/>
      <c r="C571" s="54"/>
      <c r="D571" s="67"/>
      <c r="E571" s="67"/>
      <c r="F571" s="54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8.75" customHeight="1">
      <c r="A572" s="75"/>
      <c r="B572" s="54"/>
      <c r="C572" s="54"/>
      <c r="D572" s="67"/>
      <c r="E572" s="67"/>
      <c r="F572" s="54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8.75" customHeight="1">
      <c r="A573" s="75"/>
      <c r="B573" s="54"/>
      <c r="C573" s="54"/>
      <c r="D573" s="67"/>
      <c r="E573" s="67"/>
      <c r="F573" s="54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8.75" customHeight="1">
      <c r="A574" s="75"/>
      <c r="B574" s="54"/>
      <c r="C574" s="54"/>
      <c r="D574" s="67"/>
      <c r="E574" s="67"/>
      <c r="F574" s="54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8.75" customHeight="1">
      <c r="A575" s="75"/>
      <c r="B575" s="54"/>
      <c r="C575" s="54"/>
      <c r="D575" s="67"/>
      <c r="E575" s="67"/>
      <c r="F575" s="54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8.75" customHeight="1">
      <c r="A576" s="75"/>
      <c r="B576" s="54"/>
      <c r="C576" s="54"/>
      <c r="D576" s="67"/>
      <c r="E576" s="67"/>
      <c r="F576" s="54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8.75" customHeight="1">
      <c r="A577" s="75"/>
      <c r="B577" s="54"/>
      <c r="C577" s="54"/>
      <c r="D577" s="67"/>
      <c r="E577" s="67"/>
      <c r="F577" s="54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8.75" customHeight="1">
      <c r="A578" s="75"/>
      <c r="B578" s="54"/>
      <c r="C578" s="54"/>
      <c r="D578" s="67"/>
      <c r="E578" s="67"/>
      <c r="F578" s="54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8.75" customHeight="1">
      <c r="A579" s="75"/>
      <c r="B579" s="54"/>
      <c r="C579" s="54"/>
      <c r="D579" s="67"/>
      <c r="E579" s="67"/>
      <c r="F579" s="54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8.75" customHeight="1">
      <c r="A580" s="75"/>
      <c r="B580" s="54"/>
      <c r="C580" s="54"/>
      <c r="D580" s="67"/>
      <c r="E580" s="67"/>
      <c r="F580" s="54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8.75" customHeight="1">
      <c r="A581" s="75"/>
      <c r="B581" s="54"/>
      <c r="C581" s="54"/>
      <c r="D581" s="67"/>
      <c r="E581" s="67"/>
      <c r="F581" s="54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8.75" customHeight="1">
      <c r="A582" s="75"/>
      <c r="B582" s="54"/>
      <c r="C582" s="54"/>
      <c r="D582" s="67"/>
      <c r="E582" s="67"/>
      <c r="F582" s="54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8.75" customHeight="1">
      <c r="A583" s="75"/>
      <c r="B583" s="54"/>
      <c r="C583" s="54"/>
      <c r="D583" s="67"/>
      <c r="E583" s="67"/>
      <c r="F583" s="54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8.75" customHeight="1">
      <c r="A584" s="75"/>
      <c r="B584" s="54"/>
      <c r="C584" s="54"/>
      <c r="D584" s="67"/>
      <c r="E584" s="67"/>
      <c r="F584" s="54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8.75" customHeight="1">
      <c r="A585" s="75"/>
      <c r="B585" s="54"/>
      <c r="C585" s="54"/>
      <c r="D585" s="67"/>
      <c r="E585" s="67"/>
      <c r="F585" s="54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8.75" customHeight="1">
      <c r="A586" s="75"/>
      <c r="B586" s="54"/>
      <c r="C586" s="54"/>
      <c r="D586" s="67"/>
      <c r="E586" s="67"/>
      <c r="F586" s="54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8.75" customHeight="1">
      <c r="A587" s="75"/>
      <c r="B587" s="54"/>
      <c r="C587" s="54"/>
      <c r="D587" s="67"/>
      <c r="E587" s="67"/>
      <c r="F587" s="54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8.75" customHeight="1">
      <c r="A588" s="75"/>
      <c r="B588" s="54"/>
      <c r="C588" s="54"/>
      <c r="D588" s="67"/>
      <c r="E588" s="67"/>
      <c r="F588" s="54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8.75" customHeight="1">
      <c r="A589" s="75"/>
      <c r="B589" s="54"/>
      <c r="C589" s="54"/>
      <c r="D589" s="67"/>
      <c r="E589" s="67"/>
      <c r="F589" s="54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8.75" customHeight="1">
      <c r="A590" s="75"/>
      <c r="B590" s="54"/>
      <c r="C590" s="54"/>
      <c r="D590" s="67"/>
      <c r="E590" s="67"/>
      <c r="F590" s="54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8.75" customHeight="1">
      <c r="A591" s="75"/>
      <c r="B591" s="54"/>
      <c r="C591" s="54"/>
      <c r="D591" s="67"/>
      <c r="E591" s="67"/>
      <c r="F591" s="54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8.75" customHeight="1">
      <c r="A592" s="75"/>
      <c r="B592" s="54"/>
      <c r="C592" s="54"/>
      <c r="D592" s="67"/>
      <c r="E592" s="67"/>
      <c r="F592" s="54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8.75" customHeight="1">
      <c r="A593" s="75"/>
      <c r="B593" s="54"/>
      <c r="C593" s="54"/>
      <c r="D593" s="67"/>
      <c r="E593" s="67"/>
      <c r="F593" s="54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8.75" customHeight="1">
      <c r="A594" s="75"/>
      <c r="B594" s="54"/>
      <c r="C594" s="54"/>
      <c r="D594" s="67"/>
      <c r="E594" s="67"/>
      <c r="F594" s="54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8.75" customHeight="1">
      <c r="A595" s="75"/>
      <c r="B595" s="54"/>
      <c r="C595" s="54"/>
      <c r="D595" s="67"/>
      <c r="E595" s="67"/>
      <c r="F595" s="54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8.75" customHeight="1">
      <c r="A596" s="75"/>
      <c r="B596" s="54"/>
      <c r="C596" s="54"/>
      <c r="D596" s="67"/>
      <c r="E596" s="67"/>
      <c r="F596" s="54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8.75" customHeight="1">
      <c r="A597" s="75"/>
      <c r="B597" s="54"/>
      <c r="C597" s="54"/>
      <c r="D597" s="67"/>
      <c r="E597" s="67"/>
      <c r="F597" s="54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8.75" customHeight="1">
      <c r="A598" s="75"/>
      <c r="B598" s="54"/>
      <c r="C598" s="54"/>
      <c r="D598" s="67"/>
      <c r="E598" s="67"/>
      <c r="F598" s="54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8.75" customHeight="1">
      <c r="A599" s="75"/>
      <c r="B599" s="54"/>
      <c r="C599" s="54"/>
      <c r="D599" s="67"/>
      <c r="E599" s="67"/>
      <c r="F599" s="54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8.75" customHeight="1">
      <c r="A600" s="75"/>
      <c r="B600" s="54"/>
      <c r="C600" s="54"/>
      <c r="D600" s="67"/>
      <c r="E600" s="67"/>
      <c r="F600" s="54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8.75" customHeight="1">
      <c r="A601" s="75"/>
      <c r="B601" s="54"/>
      <c r="C601" s="54"/>
      <c r="D601" s="67"/>
      <c r="E601" s="67"/>
      <c r="F601" s="54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8.75" customHeight="1">
      <c r="A602" s="75"/>
      <c r="B602" s="54"/>
      <c r="C602" s="54"/>
      <c r="D602" s="67"/>
      <c r="E602" s="67"/>
      <c r="F602" s="54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8.75" customHeight="1">
      <c r="A603" s="75"/>
      <c r="B603" s="54"/>
      <c r="C603" s="54"/>
      <c r="D603" s="67"/>
      <c r="E603" s="67"/>
      <c r="F603" s="54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8.75" customHeight="1">
      <c r="A604" s="75"/>
      <c r="B604" s="54"/>
      <c r="C604" s="54"/>
      <c r="D604" s="67"/>
      <c r="E604" s="67"/>
      <c r="F604" s="54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8.75" customHeight="1">
      <c r="A605" s="75"/>
      <c r="B605" s="54"/>
      <c r="C605" s="54"/>
      <c r="D605" s="67"/>
      <c r="E605" s="67"/>
      <c r="F605" s="54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8.75" customHeight="1">
      <c r="A606" s="75"/>
      <c r="B606" s="54"/>
      <c r="C606" s="54"/>
      <c r="D606" s="67"/>
      <c r="E606" s="67"/>
      <c r="F606" s="54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8.75" customHeight="1">
      <c r="A607" s="75"/>
      <c r="B607" s="54"/>
      <c r="C607" s="54"/>
      <c r="D607" s="67"/>
      <c r="E607" s="67"/>
      <c r="F607" s="54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8.75" customHeight="1">
      <c r="A608" s="75"/>
      <c r="B608" s="54"/>
      <c r="C608" s="54"/>
      <c r="D608" s="67"/>
      <c r="E608" s="67"/>
      <c r="F608" s="54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8.75" customHeight="1">
      <c r="A609" s="75"/>
      <c r="B609" s="54"/>
      <c r="C609" s="54"/>
      <c r="D609" s="67"/>
      <c r="E609" s="67"/>
      <c r="F609" s="54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8.75" customHeight="1">
      <c r="A610" s="75"/>
      <c r="B610" s="54"/>
      <c r="C610" s="54"/>
      <c r="D610" s="67"/>
      <c r="E610" s="67"/>
      <c r="F610" s="54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8.75" customHeight="1">
      <c r="A611" s="75"/>
      <c r="B611" s="54"/>
      <c r="C611" s="54"/>
      <c r="D611" s="67"/>
      <c r="E611" s="67"/>
      <c r="F611" s="54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8.75" customHeight="1">
      <c r="A612" s="75"/>
      <c r="B612" s="54"/>
      <c r="C612" s="54"/>
      <c r="D612" s="67"/>
      <c r="E612" s="67"/>
      <c r="F612" s="54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8.75" customHeight="1">
      <c r="A613" s="75"/>
      <c r="B613" s="54"/>
      <c r="C613" s="54"/>
      <c r="D613" s="67"/>
      <c r="E613" s="67"/>
      <c r="F613" s="54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8.75" customHeight="1">
      <c r="A614" s="75"/>
      <c r="B614" s="54"/>
      <c r="C614" s="54"/>
      <c r="D614" s="67"/>
      <c r="E614" s="67"/>
      <c r="F614" s="54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8.75" customHeight="1">
      <c r="A615" s="75"/>
      <c r="B615" s="54"/>
      <c r="C615" s="54"/>
      <c r="D615" s="67"/>
      <c r="E615" s="67"/>
      <c r="F615" s="54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8.75" customHeight="1">
      <c r="A616" s="75"/>
      <c r="B616" s="54"/>
      <c r="C616" s="54"/>
      <c r="D616" s="67"/>
      <c r="E616" s="67"/>
      <c r="F616" s="54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8.75" customHeight="1">
      <c r="A617" s="75"/>
      <c r="B617" s="54"/>
      <c r="C617" s="54"/>
      <c r="D617" s="67"/>
      <c r="E617" s="67"/>
      <c r="F617" s="54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8.75" customHeight="1">
      <c r="A618" s="75"/>
      <c r="B618" s="54"/>
      <c r="C618" s="54"/>
      <c r="D618" s="67"/>
      <c r="E618" s="67"/>
      <c r="F618" s="54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8.75" customHeight="1">
      <c r="A619" s="75"/>
      <c r="B619" s="54"/>
      <c r="C619" s="54"/>
      <c r="D619" s="67"/>
      <c r="E619" s="67"/>
      <c r="F619" s="54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8.75" customHeight="1">
      <c r="A620" s="75"/>
      <c r="B620" s="54"/>
      <c r="C620" s="54"/>
      <c r="D620" s="67"/>
      <c r="E620" s="67"/>
      <c r="F620" s="54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8.75" customHeight="1">
      <c r="A621" s="75"/>
      <c r="B621" s="54"/>
      <c r="C621" s="54"/>
      <c r="D621" s="67"/>
      <c r="E621" s="67"/>
      <c r="F621" s="54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8.75" customHeight="1">
      <c r="A622" s="75"/>
      <c r="B622" s="54"/>
      <c r="C622" s="54"/>
      <c r="D622" s="67"/>
      <c r="E622" s="67"/>
      <c r="F622" s="54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8.75" customHeight="1">
      <c r="A623" s="75"/>
      <c r="B623" s="54"/>
      <c r="C623" s="54"/>
      <c r="D623" s="67"/>
      <c r="E623" s="67"/>
      <c r="F623" s="54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8.75" customHeight="1">
      <c r="A624" s="75"/>
      <c r="B624" s="54"/>
      <c r="C624" s="54"/>
      <c r="D624" s="67"/>
      <c r="E624" s="67"/>
      <c r="F624" s="54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8.75" customHeight="1">
      <c r="A625" s="75"/>
      <c r="B625" s="54"/>
      <c r="C625" s="54"/>
      <c r="D625" s="67"/>
      <c r="E625" s="67"/>
      <c r="F625" s="54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8.75" customHeight="1">
      <c r="A626" s="75"/>
      <c r="B626" s="54"/>
      <c r="C626" s="54"/>
      <c r="D626" s="67"/>
      <c r="E626" s="67"/>
      <c r="F626" s="54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8.75" customHeight="1">
      <c r="A627" s="75"/>
      <c r="B627" s="54"/>
      <c r="C627" s="54"/>
      <c r="D627" s="67"/>
      <c r="E627" s="67"/>
      <c r="F627" s="54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8.75" customHeight="1">
      <c r="A628" s="75"/>
      <c r="B628" s="54"/>
      <c r="C628" s="54"/>
      <c r="D628" s="67"/>
      <c r="E628" s="67"/>
      <c r="F628" s="54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8.75" customHeight="1">
      <c r="A629" s="75"/>
      <c r="B629" s="54"/>
      <c r="C629" s="54"/>
      <c r="D629" s="67"/>
      <c r="E629" s="67"/>
      <c r="F629" s="54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8.75" customHeight="1">
      <c r="A630" s="75"/>
      <c r="B630" s="54"/>
      <c r="C630" s="54"/>
      <c r="D630" s="67"/>
      <c r="E630" s="67"/>
      <c r="F630" s="54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8.75" customHeight="1">
      <c r="A631" s="75"/>
      <c r="B631" s="54"/>
      <c r="C631" s="54"/>
      <c r="D631" s="67"/>
      <c r="E631" s="67"/>
      <c r="F631" s="54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8.75" customHeight="1">
      <c r="A632" s="75"/>
      <c r="B632" s="54"/>
      <c r="C632" s="54"/>
      <c r="D632" s="67"/>
      <c r="E632" s="67"/>
      <c r="F632" s="54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8.75" customHeight="1">
      <c r="A633" s="75"/>
      <c r="B633" s="54"/>
      <c r="C633" s="54"/>
      <c r="D633" s="67"/>
      <c r="E633" s="67"/>
      <c r="F633" s="54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8.75" customHeight="1">
      <c r="A634" s="75"/>
      <c r="B634" s="54"/>
      <c r="C634" s="54"/>
      <c r="D634" s="67"/>
      <c r="E634" s="67"/>
      <c r="F634" s="54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8.75" customHeight="1">
      <c r="A635" s="75"/>
      <c r="B635" s="54"/>
      <c r="C635" s="54"/>
      <c r="D635" s="67"/>
      <c r="E635" s="67"/>
      <c r="F635" s="54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8.75" customHeight="1">
      <c r="A636" s="75"/>
      <c r="B636" s="54"/>
      <c r="C636" s="54"/>
      <c r="D636" s="67"/>
      <c r="E636" s="67"/>
      <c r="F636" s="54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8.75" customHeight="1">
      <c r="A637" s="75"/>
      <c r="B637" s="54"/>
      <c r="C637" s="54"/>
      <c r="D637" s="67"/>
      <c r="E637" s="67"/>
      <c r="F637" s="54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8.75" customHeight="1">
      <c r="A638" s="75"/>
      <c r="B638" s="54"/>
      <c r="C638" s="54"/>
      <c r="D638" s="67"/>
      <c r="E638" s="67"/>
      <c r="F638" s="54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8.75" customHeight="1">
      <c r="A639" s="75"/>
      <c r="B639" s="54"/>
      <c r="C639" s="54"/>
      <c r="D639" s="67"/>
      <c r="E639" s="67"/>
      <c r="F639" s="54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8.75" customHeight="1">
      <c r="A640" s="75"/>
      <c r="B640" s="54"/>
      <c r="C640" s="54"/>
      <c r="D640" s="67"/>
      <c r="E640" s="67"/>
      <c r="F640" s="54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8.75" customHeight="1">
      <c r="A641" s="75"/>
      <c r="B641" s="54"/>
      <c r="C641" s="54"/>
      <c r="D641" s="67"/>
      <c r="E641" s="67"/>
      <c r="F641" s="54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8.75" customHeight="1">
      <c r="A642" s="75"/>
      <c r="B642" s="54"/>
      <c r="C642" s="54"/>
      <c r="D642" s="67"/>
      <c r="E642" s="67"/>
      <c r="F642" s="54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8.75" customHeight="1">
      <c r="A643" s="75"/>
      <c r="B643" s="54"/>
      <c r="C643" s="54"/>
      <c r="D643" s="67"/>
      <c r="E643" s="67"/>
      <c r="F643" s="54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8.75" customHeight="1">
      <c r="A644" s="75"/>
      <c r="B644" s="54"/>
      <c r="C644" s="54"/>
      <c r="D644" s="67"/>
      <c r="E644" s="67"/>
      <c r="F644" s="54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8.75" customHeight="1">
      <c r="A645" s="75"/>
      <c r="B645" s="54"/>
      <c r="C645" s="54"/>
      <c r="D645" s="67"/>
      <c r="E645" s="67"/>
      <c r="F645" s="54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8.75" customHeight="1">
      <c r="A646" s="75"/>
      <c r="B646" s="54"/>
      <c r="C646" s="54"/>
      <c r="D646" s="67"/>
      <c r="E646" s="67"/>
      <c r="F646" s="54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8.75" customHeight="1">
      <c r="A647" s="75"/>
      <c r="B647" s="54"/>
      <c r="C647" s="54"/>
      <c r="D647" s="67"/>
      <c r="E647" s="67"/>
      <c r="F647" s="54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8.75" customHeight="1">
      <c r="A648" s="75"/>
      <c r="B648" s="54"/>
      <c r="C648" s="54"/>
      <c r="D648" s="67"/>
      <c r="E648" s="67"/>
      <c r="F648" s="54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8.75" customHeight="1">
      <c r="A649" s="75"/>
      <c r="B649" s="54"/>
      <c r="C649" s="54"/>
      <c r="D649" s="67"/>
      <c r="E649" s="67"/>
      <c r="F649" s="54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8.75" customHeight="1">
      <c r="A650" s="75"/>
      <c r="B650" s="54"/>
      <c r="C650" s="54"/>
      <c r="D650" s="67"/>
      <c r="E650" s="67"/>
      <c r="F650" s="54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8.75" customHeight="1">
      <c r="A651" s="75"/>
      <c r="B651" s="54"/>
      <c r="C651" s="54"/>
      <c r="D651" s="67"/>
      <c r="E651" s="67"/>
      <c r="F651" s="54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8.75" customHeight="1">
      <c r="A652" s="75"/>
      <c r="B652" s="54"/>
      <c r="C652" s="54"/>
      <c r="D652" s="67"/>
      <c r="E652" s="67"/>
      <c r="F652" s="54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8.75" customHeight="1">
      <c r="A653" s="75"/>
      <c r="B653" s="54"/>
      <c r="C653" s="54"/>
      <c r="D653" s="67"/>
      <c r="E653" s="67"/>
      <c r="F653" s="54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8.75" customHeight="1">
      <c r="A654" s="75"/>
      <c r="B654" s="54"/>
      <c r="C654" s="54"/>
      <c r="D654" s="67"/>
      <c r="E654" s="67"/>
      <c r="F654" s="54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8.75" customHeight="1">
      <c r="A655" s="75"/>
      <c r="B655" s="54"/>
      <c r="C655" s="54"/>
      <c r="D655" s="67"/>
      <c r="E655" s="67"/>
      <c r="F655" s="54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8.75" customHeight="1">
      <c r="A656" s="75"/>
      <c r="B656" s="54"/>
      <c r="C656" s="54"/>
      <c r="D656" s="67"/>
      <c r="E656" s="67"/>
      <c r="F656" s="54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8.75" customHeight="1">
      <c r="A657" s="75"/>
      <c r="B657" s="54"/>
      <c r="C657" s="54"/>
      <c r="D657" s="67"/>
      <c r="E657" s="67"/>
      <c r="F657" s="54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8.75" customHeight="1">
      <c r="A658" s="75"/>
      <c r="B658" s="54"/>
      <c r="C658" s="54"/>
      <c r="D658" s="67"/>
      <c r="E658" s="67"/>
      <c r="F658" s="54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8.75" customHeight="1">
      <c r="A659" s="75"/>
      <c r="B659" s="54"/>
      <c r="C659" s="54"/>
      <c r="D659" s="67"/>
      <c r="E659" s="67"/>
      <c r="F659" s="54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8.75" customHeight="1">
      <c r="A660" s="75"/>
      <c r="B660" s="54"/>
      <c r="C660" s="54"/>
      <c r="D660" s="67"/>
      <c r="E660" s="67"/>
      <c r="F660" s="54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8.75" customHeight="1">
      <c r="A661" s="75"/>
      <c r="B661" s="54"/>
      <c r="C661" s="54"/>
      <c r="D661" s="67"/>
      <c r="E661" s="67"/>
      <c r="F661" s="54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8.75" customHeight="1">
      <c r="A662" s="75"/>
      <c r="B662" s="54"/>
      <c r="C662" s="54"/>
      <c r="D662" s="67"/>
      <c r="E662" s="67"/>
      <c r="F662" s="54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8.75" customHeight="1">
      <c r="A663" s="75"/>
      <c r="B663" s="54"/>
      <c r="C663" s="54"/>
      <c r="D663" s="67"/>
      <c r="E663" s="67"/>
      <c r="F663" s="54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8.75" customHeight="1">
      <c r="A664" s="75"/>
      <c r="B664" s="54"/>
      <c r="C664" s="54"/>
      <c r="D664" s="67"/>
      <c r="E664" s="67"/>
      <c r="F664" s="54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8.75" customHeight="1">
      <c r="A665" s="75"/>
      <c r="B665" s="54"/>
      <c r="C665" s="54"/>
      <c r="D665" s="67"/>
      <c r="E665" s="67"/>
      <c r="F665" s="54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8.75" customHeight="1">
      <c r="A666" s="75"/>
      <c r="B666" s="54"/>
      <c r="C666" s="54"/>
      <c r="D666" s="67"/>
      <c r="E666" s="67"/>
      <c r="F666" s="54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8.75" customHeight="1">
      <c r="A667" s="75"/>
      <c r="B667" s="54"/>
      <c r="C667" s="54"/>
      <c r="D667" s="67"/>
      <c r="E667" s="67"/>
      <c r="F667" s="54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8.75" customHeight="1">
      <c r="A668" s="75"/>
      <c r="B668" s="54"/>
      <c r="C668" s="54"/>
      <c r="D668" s="67"/>
      <c r="E668" s="67"/>
      <c r="F668" s="54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8.75" customHeight="1">
      <c r="A669" s="75"/>
      <c r="B669" s="54"/>
      <c r="C669" s="54"/>
      <c r="D669" s="67"/>
      <c r="E669" s="67"/>
      <c r="F669" s="54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8.75" customHeight="1">
      <c r="A670" s="75"/>
      <c r="B670" s="54"/>
      <c r="C670" s="54"/>
      <c r="D670" s="67"/>
      <c r="E670" s="67"/>
      <c r="F670" s="54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8.75" customHeight="1">
      <c r="A671" s="75"/>
      <c r="B671" s="54"/>
      <c r="C671" s="54"/>
      <c r="D671" s="67"/>
      <c r="E671" s="67"/>
      <c r="F671" s="54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8.75" customHeight="1">
      <c r="A672" s="75"/>
      <c r="B672" s="54"/>
      <c r="C672" s="54"/>
      <c r="D672" s="67"/>
      <c r="E672" s="67"/>
      <c r="F672" s="54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8.75" customHeight="1">
      <c r="A673" s="75"/>
      <c r="B673" s="54"/>
      <c r="C673" s="54"/>
      <c r="D673" s="67"/>
      <c r="E673" s="67"/>
      <c r="F673" s="54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8.75" customHeight="1">
      <c r="A674" s="75"/>
      <c r="B674" s="54"/>
      <c r="C674" s="54"/>
      <c r="D674" s="67"/>
      <c r="E674" s="67"/>
      <c r="F674" s="54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8.75" customHeight="1">
      <c r="A675" s="75"/>
      <c r="B675" s="54"/>
      <c r="C675" s="54"/>
      <c r="D675" s="67"/>
      <c r="E675" s="67"/>
      <c r="F675" s="54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8.75" customHeight="1">
      <c r="A676" s="75"/>
      <c r="B676" s="54"/>
      <c r="C676" s="54"/>
      <c r="D676" s="67"/>
      <c r="E676" s="67"/>
      <c r="F676" s="54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8.75" customHeight="1">
      <c r="A677" s="75"/>
      <c r="B677" s="54"/>
      <c r="C677" s="54"/>
      <c r="D677" s="67"/>
      <c r="E677" s="67"/>
      <c r="F677" s="54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8.75" customHeight="1">
      <c r="A678" s="75"/>
      <c r="B678" s="54"/>
      <c r="C678" s="54"/>
      <c r="D678" s="67"/>
      <c r="E678" s="67"/>
      <c r="F678" s="54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8.75" customHeight="1">
      <c r="A679" s="75"/>
      <c r="B679" s="54"/>
      <c r="C679" s="54"/>
      <c r="D679" s="67"/>
      <c r="E679" s="67"/>
      <c r="F679" s="54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8.75" customHeight="1">
      <c r="A680" s="75"/>
      <c r="B680" s="54"/>
      <c r="C680" s="54"/>
      <c r="D680" s="67"/>
      <c r="E680" s="67"/>
      <c r="F680" s="54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8.75" customHeight="1">
      <c r="A681" s="75"/>
      <c r="B681" s="54"/>
      <c r="C681" s="54"/>
      <c r="D681" s="67"/>
      <c r="E681" s="67"/>
      <c r="F681" s="54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8.75" customHeight="1">
      <c r="A682" s="75"/>
      <c r="B682" s="54"/>
      <c r="C682" s="54"/>
      <c r="D682" s="67"/>
      <c r="E682" s="67"/>
      <c r="F682" s="54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8.75" customHeight="1">
      <c r="A683" s="75"/>
      <c r="B683" s="54"/>
      <c r="C683" s="54"/>
      <c r="D683" s="67"/>
      <c r="E683" s="67"/>
      <c r="F683" s="54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8.75" customHeight="1">
      <c r="A684" s="75"/>
      <c r="B684" s="54"/>
      <c r="C684" s="54"/>
      <c r="D684" s="67"/>
      <c r="E684" s="67"/>
      <c r="F684" s="54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8.75" customHeight="1">
      <c r="A685" s="75"/>
      <c r="B685" s="54"/>
      <c r="C685" s="54"/>
      <c r="D685" s="67"/>
      <c r="E685" s="67"/>
      <c r="F685" s="54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8.75" customHeight="1">
      <c r="A686" s="75"/>
      <c r="B686" s="54"/>
      <c r="C686" s="54"/>
      <c r="D686" s="67"/>
      <c r="E686" s="67"/>
      <c r="F686" s="54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8.75" customHeight="1">
      <c r="A687" s="75"/>
      <c r="B687" s="54"/>
      <c r="C687" s="54"/>
      <c r="D687" s="67"/>
      <c r="E687" s="67"/>
      <c r="F687" s="54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8.75" customHeight="1">
      <c r="A688" s="75"/>
      <c r="B688" s="54"/>
      <c r="C688" s="54"/>
      <c r="D688" s="67"/>
      <c r="E688" s="67"/>
      <c r="F688" s="54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8.75" customHeight="1">
      <c r="A689" s="75"/>
      <c r="B689" s="54"/>
      <c r="C689" s="54"/>
      <c r="D689" s="67"/>
      <c r="E689" s="67"/>
      <c r="F689" s="54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8.75" customHeight="1">
      <c r="A690" s="75"/>
      <c r="B690" s="54"/>
      <c r="C690" s="54"/>
      <c r="D690" s="67"/>
      <c r="E690" s="67"/>
      <c r="F690" s="54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8.75" customHeight="1">
      <c r="A691" s="75"/>
      <c r="B691" s="54"/>
      <c r="C691" s="54"/>
      <c r="D691" s="67"/>
      <c r="E691" s="67"/>
      <c r="F691" s="54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8.75" customHeight="1">
      <c r="A692" s="75"/>
      <c r="B692" s="54"/>
      <c r="C692" s="54"/>
      <c r="D692" s="67"/>
      <c r="E692" s="67"/>
      <c r="F692" s="54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8.75" customHeight="1">
      <c r="A693" s="75"/>
      <c r="B693" s="54"/>
      <c r="C693" s="54"/>
      <c r="D693" s="67"/>
      <c r="E693" s="67"/>
      <c r="F693" s="54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8.75" customHeight="1">
      <c r="A694" s="75"/>
      <c r="B694" s="54"/>
      <c r="C694" s="54"/>
      <c r="D694" s="67"/>
      <c r="E694" s="67"/>
      <c r="F694" s="54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8.75" customHeight="1">
      <c r="A695" s="75"/>
      <c r="B695" s="54"/>
      <c r="C695" s="54"/>
      <c r="D695" s="67"/>
      <c r="E695" s="67"/>
      <c r="F695" s="54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8.75" customHeight="1">
      <c r="A696" s="75"/>
      <c r="B696" s="54"/>
      <c r="C696" s="54"/>
      <c r="D696" s="67"/>
      <c r="E696" s="67"/>
      <c r="F696" s="54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8.75" customHeight="1">
      <c r="A697" s="75"/>
      <c r="B697" s="54"/>
      <c r="C697" s="54"/>
      <c r="D697" s="67"/>
      <c r="E697" s="67"/>
      <c r="F697" s="54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8.75" customHeight="1">
      <c r="A698" s="75"/>
      <c r="B698" s="54"/>
      <c r="C698" s="54"/>
      <c r="D698" s="67"/>
      <c r="E698" s="67"/>
      <c r="F698" s="54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8.75" customHeight="1">
      <c r="A699" s="75"/>
      <c r="B699" s="54"/>
      <c r="C699" s="54"/>
      <c r="D699" s="67"/>
      <c r="E699" s="67"/>
      <c r="F699" s="54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8.75" customHeight="1">
      <c r="A700" s="75"/>
      <c r="B700" s="54"/>
      <c r="C700" s="54"/>
      <c r="D700" s="67"/>
      <c r="E700" s="67"/>
      <c r="F700" s="54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8.75" customHeight="1">
      <c r="A701" s="75"/>
      <c r="B701" s="54"/>
      <c r="C701" s="54"/>
      <c r="D701" s="67"/>
      <c r="E701" s="67"/>
      <c r="F701" s="54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8.75" customHeight="1">
      <c r="A702" s="75"/>
      <c r="B702" s="54"/>
      <c r="C702" s="54"/>
      <c r="D702" s="67"/>
      <c r="E702" s="67"/>
      <c r="F702" s="54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8.75" customHeight="1">
      <c r="A703" s="75"/>
      <c r="B703" s="54"/>
      <c r="C703" s="54"/>
      <c r="D703" s="67"/>
      <c r="E703" s="67"/>
      <c r="F703" s="54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8.75" customHeight="1">
      <c r="A704" s="75"/>
      <c r="B704" s="54"/>
      <c r="C704" s="54"/>
      <c r="D704" s="67"/>
      <c r="E704" s="67"/>
      <c r="F704" s="54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8.75" customHeight="1">
      <c r="A705" s="75"/>
      <c r="B705" s="54"/>
      <c r="C705" s="54"/>
      <c r="D705" s="67"/>
      <c r="E705" s="67"/>
      <c r="F705" s="54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8.75" customHeight="1">
      <c r="A706" s="75"/>
      <c r="B706" s="54"/>
      <c r="C706" s="54"/>
      <c r="D706" s="67"/>
      <c r="E706" s="67"/>
      <c r="F706" s="54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8.75" customHeight="1">
      <c r="A707" s="75"/>
      <c r="B707" s="54"/>
      <c r="C707" s="54"/>
      <c r="D707" s="67"/>
      <c r="E707" s="67"/>
      <c r="F707" s="54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8.75" customHeight="1">
      <c r="A708" s="75"/>
      <c r="B708" s="54"/>
      <c r="C708" s="54"/>
      <c r="D708" s="67"/>
      <c r="E708" s="67"/>
      <c r="F708" s="54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8.75" customHeight="1">
      <c r="A709" s="75"/>
      <c r="B709" s="54"/>
      <c r="C709" s="54"/>
      <c r="D709" s="67"/>
      <c r="E709" s="67"/>
      <c r="F709" s="54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8.75" customHeight="1">
      <c r="A710" s="75"/>
      <c r="B710" s="54"/>
      <c r="C710" s="54"/>
      <c r="D710" s="67"/>
      <c r="E710" s="67"/>
      <c r="F710" s="54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8.75" customHeight="1">
      <c r="A711" s="75"/>
      <c r="B711" s="54"/>
      <c r="C711" s="54"/>
      <c r="D711" s="67"/>
      <c r="E711" s="67"/>
      <c r="F711" s="54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8.75" customHeight="1">
      <c r="A712" s="75"/>
      <c r="B712" s="54"/>
      <c r="C712" s="54"/>
      <c r="D712" s="67"/>
      <c r="E712" s="67"/>
      <c r="F712" s="54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8.75" customHeight="1">
      <c r="A713" s="75"/>
      <c r="B713" s="54"/>
      <c r="C713" s="54"/>
      <c r="D713" s="67"/>
      <c r="E713" s="67"/>
      <c r="F713" s="54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8.75" customHeight="1">
      <c r="A714" s="75"/>
      <c r="B714" s="54"/>
      <c r="C714" s="54"/>
      <c r="D714" s="67"/>
      <c r="E714" s="67"/>
      <c r="F714" s="54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8.75" customHeight="1">
      <c r="A715" s="75"/>
      <c r="B715" s="54"/>
      <c r="C715" s="54"/>
      <c r="D715" s="67"/>
      <c r="E715" s="67"/>
      <c r="F715" s="54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8.75" customHeight="1">
      <c r="A716" s="75"/>
      <c r="B716" s="54"/>
      <c r="C716" s="54"/>
      <c r="D716" s="67"/>
      <c r="E716" s="67"/>
      <c r="F716" s="54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8.75" customHeight="1">
      <c r="A717" s="75"/>
      <c r="B717" s="54"/>
      <c r="C717" s="54"/>
      <c r="D717" s="67"/>
      <c r="E717" s="67"/>
      <c r="F717" s="54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8.75" customHeight="1">
      <c r="A718" s="75"/>
      <c r="B718" s="54"/>
      <c r="C718" s="54"/>
      <c r="D718" s="67"/>
      <c r="E718" s="67"/>
      <c r="F718" s="54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8.75" customHeight="1">
      <c r="A719" s="75"/>
      <c r="B719" s="54"/>
      <c r="C719" s="54"/>
      <c r="D719" s="67"/>
      <c r="E719" s="67"/>
      <c r="F719" s="54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8.75" customHeight="1">
      <c r="A720" s="75"/>
      <c r="B720" s="54"/>
      <c r="C720" s="54"/>
      <c r="D720" s="67"/>
      <c r="E720" s="67"/>
      <c r="F720" s="54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8.75" customHeight="1">
      <c r="A721" s="75"/>
      <c r="B721" s="54"/>
      <c r="C721" s="54"/>
      <c r="D721" s="67"/>
      <c r="E721" s="67"/>
      <c r="F721" s="54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8.75" customHeight="1">
      <c r="A722" s="75"/>
      <c r="B722" s="54"/>
      <c r="C722" s="54"/>
      <c r="D722" s="67"/>
      <c r="E722" s="67"/>
      <c r="F722" s="54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8.75" customHeight="1">
      <c r="A723" s="75"/>
      <c r="B723" s="54"/>
      <c r="C723" s="54"/>
      <c r="D723" s="67"/>
      <c r="E723" s="67"/>
      <c r="F723" s="54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8.75" customHeight="1">
      <c r="A724" s="75"/>
      <c r="B724" s="54"/>
      <c r="C724" s="54"/>
      <c r="D724" s="67"/>
      <c r="E724" s="67"/>
      <c r="F724" s="54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8.75" customHeight="1">
      <c r="A725" s="75"/>
      <c r="B725" s="54"/>
      <c r="C725" s="54"/>
      <c r="D725" s="67"/>
      <c r="E725" s="67"/>
      <c r="F725" s="54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8.75" customHeight="1">
      <c r="A726" s="75"/>
      <c r="B726" s="54"/>
      <c r="C726" s="54"/>
      <c r="D726" s="67"/>
      <c r="E726" s="67"/>
      <c r="F726" s="54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8.75" customHeight="1">
      <c r="A727" s="75"/>
      <c r="B727" s="54"/>
      <c r="C727" s="54"/>
      <c r="D727" s="67"/>
      <c r="E727" s="67"/>
      <c r="F727" s="54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8.75" customHeight="1">
      <c r="A728" s="75"/>
      <c r="B728" s="54"/>
      <c r="C728" s="54"/>
      <c r="D728" s="67"/>
      <c r="E728" s="67"/>
      <c r="F728" s="54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8.75" customHeight="1">
      <c r="A729" s="75"/>
      <c r="B729" s="54"/>
      <c r="C729" s="54"/>
      <c r="D729" s="67"/>
      <c r="E729" s="67"/>
      <c r="F729" s="54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8.75" customHeight="1">
      <c r="A730" s="75"/>
      <c r="B730" s="54"/>
      <c r="C730" s="54"/>
      <c r="D730" s="67"/>
      <c r="E730" s="67"/>
      <c r="F730" s="54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8.75" customHeight="1">
      <c r="A731" s="75"/>
      <c r="B731" s="54"/>
      <c r="C731" s="54"/>
      <c r="D731" s="67"/>
      <c r="E731" s="67"/>
      <c r="F731" s="54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8.75" customHeight="1">
      <c r="A732" s="75"/>
      <c r="B732" s="54"/>
      <c r="C732" s="54"/>
      <c r="D732" s="67"/>
      <c r="E732" s="67"/>
      <c r="F732" s="54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8.75" customHeight="1">
      <c r="A733" s="75"/>
      <c r="B733" s="54"/>
      <c r="C733" s="54"/>
      <c r="D733" s="67"/>
      <c r="E733" s="67"/>
      <c r="F733" s="54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8.75" customHeight="1">
      <c r="A734" s="75"/>
      <c r="B734" s="54"/>
      <c r="C734" s="54"/>
      <c r="D734" s="67"/>
      <c r="E734" s="67"/>
      <c r="F734" s="54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8.75" customHeight="1">
      <c r="A735" s="75"/>
      <c r="B735" s="54"/>
      <c r="C735" s="54"/>
      <c r="D735" s="67"/>
      <c r="E735" s="67"/>
      <c r="F735" s="54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8.75" customHeight="1">
      <c r="A736" s="75"/>
      <c r="B736" s="54"/>
      <c r="C736" s="54"/>
      <c r="D736" s="67"/>
      <c r="E736" s="67"/>
      <c r="F736" s="54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8.75" customHeight="1">
      <c r="A737" s="75"/>
      <c r="B737" s="54"/>
      <c r="C737" s="54"/>
      <c r="D737" s="67"/>
      <c r="E737" s="67"/>
      <c r="F737" s="54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8.75" customHeight="1">
      <c r="A738" s="75"/>
      <c r="B738" s="54"/>
      <c r="C738" s="54"/>
      <c r="D738" s="67"/>
      <c r="E738" s="67"/>
      <c r="F738" s="54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8.75" customHeight="1">
      <c r="A739" s="75"/>
      <c r="B739" s="54"/>
      <c r="C739" s="54"/>
      <c r="D739" s="67"/>
      <c r="E739" s="67"/>
      <c r="F739" s="54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8.75" customHeight="1">
      <c r="A740" s="75"/>
      <c r="B740" s="54"/>
      <c r="C740" s="54"/>
      <c r="D740" s="67"/>
      <c r="E740" s="67"/>
      <c r="F740" s="54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8.75" customHeight="1">
      <c r="A741" s="75"/>
      <c r="B741" s="54"/>
      <c r="C741" s="54"/>
      <c r="D741" s="67"/>
      <c r="E741" s="67"/>
      <c r="F741" s="54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8.75" customHeight="1">
      <c r="A742" s="75"/>
      <c r="B742" s="54"/>
      <c r="C742" s="54"/>
      <c r="D742" s="67"/>
      <c r="E742" s="67"/>
      <c r="F742" s="54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8.75" customHeight="1">
      <c r="A743" s="75"/>
      <c r="B743" s="54"/>
      <c r="C743" s="54"/>
      <c r="D743" s="67"/>
      <c r="E743" s="67"/>
      <c r="F743" s="54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8.75" customHeight="1">
      <c r="A744" s="75"/>
      <c r="B744" s="54"/>
      <c r="C744" s="54"/>
      <c r="D744" s="67"/>
      <c r="E744" s="67"/>
      <c r="F744" s="54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8.75" customHeight="1">
      <c r="A745" s="75"/>
      <c r="B745" s="54"/>
      <c r="C745" s="54"/>
      <c r="D745" s="67"/>
      <c r="E745" s="67"/>
      <c r="F745" s="54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8.75" customHeight="1">
      <c r="A746" s="75"/>
      <c r="B746" s="54"/>
      <c r="C746" s="54"/>
      <c r="D746" s="67"/>
      <c r="E746" s="67"/>
      <c r="F746" s="54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8.75" customHeight="1">
      <c r="A747" s="75"/>
      <c r="B747" s="54"/>
      <c r="C747" s="54"/>
      <c r="D747" s="67"/>
      <c r="E747" s="67"/>
      <c r="F747" s="54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8.75" customHeight="1">
      <c r="A748" s="75"/>
      <c r="B748" s="54"/>
      <c r="C748" s="54"/>
      <c r="D748" s="67"/>
      <c r="E748" s="67"/>
      <c r="F748" s="54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8.75" customHeight="1">
      <c r="A749" s="75"/>
      <c r="B749" s="54"/>
      <c r="C749" s="54"/>
      <c r="D749" s="67"/>
      <c r="E749" s="67"/>
      <c r="F749" s="54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8.75" customHeight="1">
      <c r="A750" s="75"/>
      <c r="B750" s="54"/>
      <c r="C750" s="54"/>
      <c r="D750" s="67"/>
      <c r="E750" s="67"/>
      <c r="F750" s="54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8.75" customHeight="1">
      <c r="A751" s="75"/>
      <c r="B751" s="54"/>
      <c r="C751" s="54"/>
      <c r="D751" s="67"/>
      <c r="E751" s="67"/>
      <c r="F751" s="54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8.75" customHeight="1">
      <c r="A752" s="75"/>
      <c r="B752" s="54"/>
      <c r="C752" s="54"/>
      <c r="D752" s="67"/>
      <c r="E752" s="67"/>
      <c r="F752" s="54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8.75" customHeight="1">
      <c r="A753" s="75"/>
      <c r="B753" s="54"/>
      <c r="C753" s="54"/>
      <c r="D753" s="67"/>
      <c r="E753" s="67"/>
      <c r="F753" s="54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8.75" customHeight="1">
      <c r="A754" s="75"/>
      <c r="B754" s="54"/>
      <c r="C754" s="54"/>
      <c r="D754" s="67"/>
      <c r="E754" s="67"/>
      <c r="F754" s="54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8.75" customHeight="1">
      <c r="A755" s="75"/>
      <c r="B755" s="54"/>
      <c r="C755" s="54"/>
      <c r="D755" s="67"/>
      <c r="E755" s="67"/>
      <c r="F755" s="54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8.75" customHeight="1">
      <c r="A756" s="75"/>
      <c r="B756" s="54"/>
      <c r="C756" s="54"/>
      <c r="D756" s="67"/>
      <c r="E756" s="67"/>
      <c r="F756" s="54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8.75" customHeight="1">
      <c r="A757" s="75"/>
      <c r="B757" s="54"/>
      <c r="C757" s="54"/>
      <c r="D757" s="67"/>
      <c r="E757" s="67"/>
      <c r="F757" s="54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8.75" customHeight="1">
      <c r="A758" s="75"/>
      <c r="B758" s="54"/>
      <c r="C758" s="54"/>
      <c r="D758" s="67"/>
      <c r="E758" s="67"/>
      <c r="F758" s="54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8.75" customHeight="1">
      <c r="A759" s="75"/>
      <c r="B759" s="54"/>
      <c r="C759" s="54"/>
      <c r="D759" s="67"/>
      <c r="E759" s="67"/>
      <c r="F759" s="54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8.75" customHeight="1">
      <c r="A760" s="75"/>
      <c r="B760" s="54"/>
      <c r="C760" s="54"/>
      <c r="D760" s="67"/>
      <c r="E760" s="67"/>
      <c r="F760" s="54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8.75" customHeight="1">
      <c r="A761" s="75"/>
      <c r="B761" s="54"/>
      <c r="C761" s="54"/>
      <c r="D761" s="67"/>
      <c r="E761" s="67"/>
      <c r="F761" s="54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8.75" customHeight="1">
      <c r="A762" s="75"/>
      <c r="B762" s="54"/>
      <c r="C762" s="54"/>
      <c r="D762" s="67"/>
      <c r="E762" s="67"/>
      <c r="F762" s="54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8.75" customHeight="1">
      <c r="A763" s="75"/>
      <c r="B763" s="54"/>
      <c r="C763" s="54"/>
      <c r="D763" s="67"/>
      <c r="E763" s="67"/>
      <c r="F763" s="54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8.75" customHeight="1">
      <c r="A764" s="75"/>
      <c r="B764" s="54"/>
      <c r="C764" s="54"/>
      <c r="D764" s="67"/>
      <c r="E764" s="67"/>
      <c r="F764" s="54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8.75" customHeight="1">
      <c r="A765" s="75"/>
      <c r="B765" s="54"/>
      <c r="C765" s="54"/>
      <c r="D765" s="67"/>
      <c r="E765" s="67"/>
      <c r="F765" s="54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8.75" customHeight="1">
      <c r="A766" s="75"/>
      <c r="B766" s="54"/>
      <c r="C766" s="54"/>
      <c r="D766" s="67"/>
      <c r="E766" s="67"/>
      <c r="F766" s="54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8.75" customHeight="1">
      <c r="A767" s="75"/>
      <c r="B767" s="54"/>
      <c r="C767" s="54"/>
      <c r="D767" s="67"/>
      <c r="E767" s="67"/>
      <c r="F767" s="54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8.75" customHeight="1">
      <c r="A768" s="75"/>
      <c r="B768" s="54"/>
      <c r="C768" s="54"/>
      <c r="D768" s="67"/>
      <c r="E768" s="67"/>
      <c r="F768" s="54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8.75" customHeight="1">
      <c r="A769" s="75"/>
      <c r="B769" s="54"/>
      <c r="C769" s="54"/>
      <c r="D769" s="67"/>
      <c r="E769" s="67"/>
      <c r="F769" s="54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8.75" customHeight="1">
      <c r="A770" s="75"/>
      <c r="B770" s="54"/>
      <c r="C770" s="54"/>
      <c r="D770" s="67"/>
      <c r="E770" s="67"/>
      <c r="F770" s="54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8.75" customHeight="1">
      <c r="A771" s="75"/>
      <c r="B771" s="54"/>
      <c r="C771" s="54"/>
      <c r="D771" s="67"/>
      <c r="E771" s="67"/>
      <c r="F771" s="54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8.75" customHeight="1">
      <c r="A772" s="75"/>
      <c r="B772" s="54"/>
      <c r="C772" s="54"/>
      <c r="D772" s="67"/>
      <c r="E772" s="67"/>
      <c r="F772" s="54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8.75" customHeight="1">
      <c r="A773" s="75"/>
      <c r="B773" s="54"/>
      <c r="C773" s="54"/>
      <c r="D773" s="67"/>
      <c r="E773" s="67"/>
      <c r="F773" s="54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8.75" customHeight="1">
      <c r="A774" s="75"/>
      <c r="B774" s="54"/>
      <c r="C774" s="54"/>
      <c r="D774" s="67"/>
      <c r="E774" s="67"/>
      <c r="F774" s="54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8.75" customHeight="1">
      <c r="A775" s="75"/>
      <c r="B775" s="54"/>
      <c r="C775" s="54"/>
      <c r="D775" s="67"/>
      <c r="E775" s="67"/>
      <c r="F775" s="54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8.75" customHeight="1">
      <c r="A776" s="75"/>
      <c r="B776" s="54"/>
      <c r="C776" s="54"/>
      <c r="D776" s="67"/>
      <c r="E776" s="67"/>
      <c r="F776" s="54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8.75" customHeight="1">
      <c r="A777" s="75"/>
      <c r="B777" s="54"/>
      <c r="C777" s="54"/>
      <c r="D777" s="67"/>
      <c r="E777" s="67"/>
      <c r="F777" s="54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8.75" customHeight="1">
      <c r="A778" s="75"/>
      <c r="B778" s="54"/>
      <c r="C778" s="54"/>
      <c r="D778" s="67"/>
      <c r="E778" s="67"/>
      <c r="F778" s="54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8.75" customHeight="1">
      <c r="A779" s="75"/>
      <c r="B779" s="54"/>
      <c r="C779" s="54"/>
      <c r="D779" s="67"/>
      <c r="E779" s="67"/>
      <c r="F779" s="54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8.75" customHeight="1">
      <c r="A780" s="75"/>
      <c r="B780" s="54"/>
      <c r="C780" s="54"/>
      <c r="D780" s="67"/>
      <c r="E780" s="67"/>
      <c r="F780" s="54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8.75" customHeight="1">
      <c r="A781" s="75"/>
      <c r="B781" s="54"/>
      <c r="C781" s="54"/>
      <c r="D781" s="67"/>
      <c r="E781" s="67"/>
      <c r="F781" s="54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8.75" customHeight="1">
      <c r="A782" s="75"/>
      <c r="B782" s="54"/>
      <c r="C782" s="54"/>
      <c r="D782" s="67"/>
      <c r="E782" s="67"/>
      <c r="F782" s="54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8.75" customHeight="1">
      <c r="A783" s="75"/>
      <c r="B783" s="54"/>
      <c r="C783" s="54"/>
      <c r="D783" s="67"/>
      <c r="E783" s="67"/>
      <c r="F783" s="54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8.75" customHeight="1">
      <c r="A784" s="75"/>
      <c r="B784" s="54"/>
      <c r="C784" s="54"/>
      <c r="D784" s="67"/>
      <c r="E784" s="67"/>
      <c r="F784" s="54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8.75" customHeight="1">
      <c r="A785" s="75"/>
      <c r="B785" s="54"/>
      <c r="C785" s="54"/>
      <c r="D785" s="67"/>
      <c r="E785" s="67"/>
      <c r="F785" s="54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8.75" customHeight="1">
      <c r="A786" s="75"/>
      <c r="B786" s="54"/>
      <c r="C786" s="54"/>
      <c r="D786" s="67"/>
      <c r="E786" s="67"/>
      <c r="F786" s="54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8.75" customHeight="1">
      <c r="A787" s="75"/>
      <c r="B787" s="54"/>
      <c r="C787" s="54"/>
      <c r="D787" s="67"/>
      <c r="E787" s="67"/>
      <c r="F787" s="54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8.75" customHeight="1">
      <c r="A788" s="75"/>
      <c r="B788" s="54"/>
      <c r="C788" s="54"/>
      <c r="D788" s="67"/>
      <c r="E788" s="67"/>
      <c r="F788" s="54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8.75" customHeight="1">
      <c r="A789" s="75"/>
      <c r="B789" s="54"/>
      <c r="C789" s="54"/>
      <c r="D789" s="67"/>
      <c r="E789" s="67"/>
      <c r="F789" s="54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8.75" customHeight="1">
      <c r="A790" s="75"/>
      <c r="B790" s="54"/>
      <c r="C790" s="54"/>
      <c r="D790" s="67"/>
      <c r="E790" s="67"/>
      <c r="F790" s="54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8.75" customHeight="1">
      <c r="A791" s="75"/>
      <c r="B791" s="54"/>
      <c r="C791" s="54"/>
      <c r="D791" s="67"/>
      <c r="E791" s="67"/>
      <c r="F791" s="54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8.75" customHeight="1">
      <c r="A792" s="75"/>
      <c r="B792" s="54"/>
      <c r="C792" s="54"/>
      <c r="D792" s="67"/>
      <c r="E792" s="67"/>
      <c r="F792" s="54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8.75" customHeight="1">
      <c r="A793" s="75"/>
      <c r="B793" s="54"/>
      <c r="C793" s="54"/>
      <c r="D793" s="67"/>
      <c r="E793" s="67"/>
      <c r="F793" s="54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8.75" customHeight="1">
      <c r="A794" s="75"/>
      <c r="B794" s="54"/>
      <c r="C794" s="54"/>
      <c r="D794" s="67"/>
      <c r="E794" s="67"/>
      <c r="F794" s="54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8.75" customHeight="1">
      <c r="A795" s="75"/>
      <c r="B795" s="54"/>
      <c r="C795" s="54"/>
      <c r="D795" s="67"/>
      <c r="E795" s="67"/>
      <c r="F795" s="54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8.75" customHeight="1">
      <c r="A796" s="75"/>
      <c r="B796" s="54"/>
      <c r="C796" s="54"/>
      <c r="D796" s="67"/>
      <c r="E796" s="67"/>
      <c r="F796" s="54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8.75" customHeight="1">
      <c r="A797" s="75"/>
      <c r="B797" s="54"/>
      <c r="C797" s="54"/>
      <c r="D797" s="67"/>
      <c r="E797" s="67"/>
      <c r="F797" s="54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8.75" customHeight="1">
      <c r="A798" s="75"/>
      <c r="B798" s="54"/>
      <c r="C798" s="54"/>
      <c r="D798" s="67"/>
      <c r="E798" s="67"/>
      <c r="F798" s="54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8.75" customHeight="1">
      <c r="A799" s="75"/>
      <c r="B799" s="54"/>
      <c r="C799" s="54"/>
      <c r="D799" s="67"/>
      <c r="E799" s="67"/>
      <c r="F799" s="54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8.75" customHeight="1">
      <c r="A800" s="75"/>
      <c r="B800" s="54"/>
      <c r="C800" s="54"/>
      <c r="D800" s="67"/>
      <c r="E800" s="67"/>
      <c r="F800" s="54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8.75" customHeight="1">
      <c r="A801" s="75"/>
      <c r="B801" s="54"/>
      <c r="C801" s="54"/>
      <c r="D801" s="67"/>
      <c r="E801" s="67"/>
      <c r="F801" s="54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8.75" customHeight="1">
      <c r="A802" s="75"/>
      <c r="B802" s="54"/>
      <c r="C802" s="54"/>
      <c r="D802" s="67"/>
      <c r="E802" s="67"/>
      <c r="F802" s="54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8.75" customHeight="1">
      <c r="A803" s="75"/>
      <c r="B803" s="54"/>
      <c r="C803" s="54"/>
      <c r="D803" s="67"/>
      <c r="E803" s="67"/>
      <c r="F803" s="54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8.75" customHeight="1">
      <c r="A804" s="75"/>
      <c r="B804" s="54"/>
      <c r="C804" s="54"/>
      <c r="D804" s="67"/>
      <c r="E804" s="67"/>
      <c r="F804" s="54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8.75" customHeight="1">
      <c r="A805" s="75"/>
      <c r="B805" s="54"/>
      <c r="C805" s="54"/>
      <c r="D805" s="67"/>
      <c r="E805" s="67"/>
      <c r="F805" s="54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8.75" customHeight="1">
      <c r="A806" s="75"/>
      <c r="B806" s="54"/>
      <c r="C806" s="54"/>
      <c r="D806" s="67"/>
      <c r="E806" s="67"/>
      <c r="F806" s="54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8.75" customHeight="1">
      <c r="A807" s="75"/>
      <c r="B807" s="54"/>
      <c r="C807" s="54"/>
      <c r="D807" s="67"/>
      <c r="E807" s="67"/>
      <c r="F807" s="54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8.75" customHeight="1">
      <c r="A808" s="75"/>
      <c r="B808" s="54"/>
      <c r="C808" s="54"/>
      <c r="D808" s="67"/>
      <c r="E808" s="67"/>
      <c r="F808" s="54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8.75" customHeight="1">
      <c r="A809" s="75"/>
      <c r="B809" s="54"/>
      <c r="C809" s="54"/>
      <c r="D809" s="67"/>
      <c r="E809" s="67"/>
      <c r="F809" s="54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8.75" customHeight="1">
      <c r="A810" s="75"/>
      <c r="B810" s="54"/>
      <c r="C810" s="54"/>
      <c r="D810" s="67"/>
      <c r="E810" s="67"/>
      <c r="F810" s="54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8.75" customHeight="1">
      <c r="A811" s="75"/>
      <c r="B811" s="54"/>
      <c r="C811" s="54"/>
      <c r="D811" s="67"/>
      <c r="E811" s="67"/>
      <c r="F811" s="54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8.75" customHeight="1">
      <c r="A812" s="75"/>
      <c r="B812" s="54"/>
      <c r="C812" s="54"/>
      <c r="D812" s="67"/>
      <c r="E812" s="67"/>
      <c r="F812" s="54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8.75" customHeight="1">
      <c r="A813" s="75"/>
      <c r="B813" s="54"/>
      <c r="C813" s="54"/>
      <c r="D813" s="67"/>
      <c r="E813" s="67"/>
      <c r="F813" s="54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8.75" customHeight="1">
      <c r="A814" s="75"/>
      <c r="B814" s="54"/>
      <c r="C814" s="54"/>
      <c r="D814" s="67"/>
      <c r="E814" s="67"/>
      <c r="F814" s="54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8.75" customHeight="1">
      <c r="A815" s="75"/>
      <c r="B815" s="54"/>
      <c r="C815" s="54"/>
      <c r="D815" s="67"/>
      <c r="E815" s="67"/>
      <c r="F815" s="54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8.75" customHeight="1">
      <c r="A816" s="75"/>
      <c r="B816" s="54"/>
      <c r="C816" s="54"/>
      <c r="D816" s="67"/>
      <c r="E816" s="67"/>
      <c r="F816" s="54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8.75" customHeight="1">
      <c r="A817" s="75"/>
      <c r="B817" s="54"/>
      <c r="C817" s="54"/>
      <c r="D817" s="67"/>
      <c r="E817" s="67"/>
      <c r="F817" s="54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8.75" customHeight="1">
      <c r="A818" s="75"/>
      <c r="B818" s="54"/>
      <c r="C818" s="54"/>
      <c r="D818" s="67"/>
      <c r="E818" s="67"/>
      <c r="F818" s="54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8.75" customHeight="1">
      <c r="A819" s="75"/>
      <c r="B819" s="54"/>
      <c r="C819" s="54"/>
      <c r="D819" s="67"/>
      <c r="E819" s="67"/>
      <c r="F819" s="54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8.75" customHeight="1">
      <c r="A820" s="75"/>
      <c r="B820" s="54"/>
      <c r="C820" s="54"/>
      <c r="D820" s="67"/>
      <c r="E820" s="67"/>
      <c r="F820" s="54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8.75" customHeight="1">
      <c r="A821" s="75"/>
      <c r="B821" s="54"/>
      <c r="C821" s="54"/>
      <c r="D821" s="67"/>
      <c r="E821" s="67"/>
      <c r="F821" s="54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8.75" customHeight="1">
      <c r="A822" s="75"/>
      <c r="B822" s="54"/>
      <c r="C822" s="54"/>
      <c r="D822" s="67"/>
      <c r="E822" s="67"/>
      <c r="F822" s="54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8.75" customHeight="1">
      <c r="A823" s="75"/>
      <c r="B823" s="54"/>
      <c r="C823" s="54"/>
      <c r="D823" s="67"/>
      <c r="E823" s="67"/>
      <c r="F823" s="54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8.75" customHeight="1">
      <c r="A824" s="75"/>
      <c r="B824" s="54"/>
      <c r="C824" s="54"/>
      <c r="D824" s="67"/>
      <c r="E824" s="67"/>
      <c r="F824" s="54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8.75" customHeight="1">
      <c r="A825" s="75"/>
      <c r="B825" s="54"/>
      <c r="C825" s="54"/>
      <c r="D825" s="67"/>
      <c r="E825" s="67"/>
      <c r="F825" s="54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8.75" customHeight="1">
      <c r="A826" s="75"/>
      <c r="B826" s="54"/>
      <c r="C826" s="54"/>
      <c r="D826" s="67"/>
      <c r="E826" s="67"/>
      <c r="F826" s="54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8.75" customHeight="1">
      <c r="A827" s="75"/>
      <c r="B827" s="54"/>
      <c r="C827" s="54"/>
      <c r="D827" s="67"/>
      <c r="E827" s="67"/>
      <c r="F827" s="54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8.75" customHeight="1">
      <c r="A828" s="75"/>
      <c r="B828" s="54"/>
      <c r="C828" s="54"/>
      <c r="D828" s="67"/>
      <c r="E828" s="67"/>
      <c r="F828" s="54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8.75" customHeight="1">
      <c r="A829" s="75"/>
      <c r="B829" s="54"/>
      <c r="C829" s="54"/>
      <c r="D829" s="67"/>
      <c r="E829" s="67"/>
      <c r="F829" s="54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8.75" customHeight="1">
      <c r="A830" s="75"/>
      <c r="B830" s="54"/>
      <c r="C830" s="54"/>
      <c r="D830" s="67"/>
      <c r="E830" s="67"/>
      <c r="F830" s="54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8.75" customHeight="1">
      <c r="A831" s="75"/>
      <c r="B831" s="54"/>
      <c r="C831" s="54"/>
      <c r="D831" s="67"/>
      <c r="E831" s="67"/>
      <c r="F831" s="54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8.75" customHeight="1">
      <c r="A832" s="75"/>
      <c r="B832" s="54"/>
      <c r="C832" s="54"/>
      <c r="D832" s="67"/>
      <c r="E832" s="67"/>
      <c r="F832" s="54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8.75" customHeight="1">
      <c r="A833" s="75"/>
      <c r="B833" s="54"/>
      <c r="C833" s="54"/>
      <c r="D833" s="67"/>
      <c r="E833" s="67"/>
      <c r="F833" s="54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8.75" customHeight="1">
      <c r="A834" s="75"/>
      <c r="B834" s="54"/>
      <c r="C834" s="54"/>
      <c r="D834" s="67"/>
      <c r="E834" s="67"/>
      <c r="F834" s="54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8.75" customHeight="1">
      <c r="A835" s="75"/>
      <c r="B835" s="54"/>
      <c r="C835" s="54"/>
      <c r="D835" s="67"/>
      <c r="E835" s="67"/>
      <c r="F835" s="54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8.75" customHeight="1">
      <c r="A836" s="75"/>
      <c r="B836" s="54"/>
      <c r="C836" s="54"/>
      <c r="D836" s="67"/>
      <c r="E836" s="67"/>
      <c r="F836" s="54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8.75" customHeight="1">
      <c r="A837" s="75"/>
      <c r="B837" s="54"/>
      <c r="C837" s="54"/>
      <c r="D837" s="67"/>
      <c r="E837" s="67"/>
      <c r="F837" s="54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8.75" customHeight="1">
      <c r="A838" s="75"/>
      <c r="B838" s="54"/>
      <c r="C838" s="54"/>
      <c r="D838" s="67"/>
      <c r="E838" s="67"/>
      <c r="F838" s="54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8.75" customHeight="1">
      <c r="A839" s="75"/>
      <c r="B839" s="54"/>
      <c r="C839" s="54"/>
      <c r="D839" s="67"/>
      <c r="E839" s="67"/>
      <c r="F839" s="54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8.75" customHeight="1">
      <c r="A840" s="75"/>
      <c r="B840" s="54"/>
      <c r="C840" s="54"/>
      <c r="D840" s="67"/>
      <c r="E840" s="67"/>
      <c r="F840" s="54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8.75" customHeight="1">
      <c r="A841" s="75"/>
      <c r="B841" s="54"/>
      <c r="C841" s="54"/>
      <c r="D841" s="67"/>
      <c r="E841" s="67"/>
      <c r="F841" s="54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8.75" customHeight="1">
      <c r="A842" s="75"/>
      <c r="B842" s="54"/>
      <c r="C842" s="54"/>
      <c r="D842" s="67"/>
      <c r="E842" s="67"/>
      <c r="F842" s="54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8.75" customHeight="1">
      <c r="A843" s="75"/>
      <c r="B843" s="54"/>
      <c r="C843" s="54"/>
      <c r="D843" s="67"/>
      <c r="E843" s="67"/>
      <c r="F843" s="54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8.75" customHeight="1">
      <c r="A844" s="75"/>
      <c r="B844" s="54"/>
      <c r="C844" s="54"/>
      <c r="D844" s="67"/>
      <c r="E844" s="67"/>
      <c r="F844" s="54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8.75" customHeight="1">
      <c r="A845" s="75"/>
      <c r="B845" s="54"/>
      <c r="C845" s="54"/>
      <c r="D845" s="67"/>
      <c r="E845" s="67"/>
      <c r="F845" s="54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8.75" customHeight="1">
      <c r="A846" s="75"/>
      <c r="B846" s="54"/>
      <c r="C846" s="54"/>
      <c r="D846" s="67"/>
      <c r="E846" s="67"/>
      <c r="F846" s="54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8.75" customHeight="1">
      <c r="A847" s="75"/>
      <c r="B847" s="54"/>
      <c r="C847" s="54"/>
      <c r="D847" s="67"/>
      <c r="E847" s="67"/>
      <c r="F847" s="54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8.75" customHeight="1">
      <c r="A848" s="75"/>
      <c r="B848" s="54"/>
      <c r="C848" s="54"/>
      <c r="D848" s="67"/>
      <c r="E848" s="67"/>
      <c r="F848" s="54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8.75" customHeight="1">
      <c r="A849" s="75"/>
      <c r="B849" s="54"/>
      <c r="C849" s="54"/>
      <c r="D849" s="67"/>
      <c r="E849" s="67"/>
      <c r="F849" s="54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8.75" customHeight="1">
      <c r="A850" s="75"/>
      <c r="B850" s="54"/>
      <c r="C850" s="54"/>
      <c r="D850" s="67"/>
      <c r="E850" s="67"/>
      <c r="F850" s="54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8.75" customHeight="1">
      <c r="A851" s="75"/>
      <c r="B851" s="54"/>
      <c r="C851" s="54"/>
      <c r="D851" s="67"/>
      <c r="E851" s="67"/>
      <c r="F851" s="54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8.75" customHeight="1">
      <c r="A852" s="75"/>
      <c r="B852" s="54"/>
      <c r="C852" s="54"/>
      <c r="D852" s="67"/>
      <c r="E852" s="67"/>
      <c r="F852" s="54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8.75" customHeight="1">
      <c r="A853" s="75"/>
      <c r="B853" s="54"/>
      <c r="C853" s="54"/>
      <c r="D853" s="67"/>
      <c r="E853" s="67"/>
      <c r="F853" s="54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8.75" customHeight="1">
      <c r="A854" s="75"/>
      <c r="B854" s="54"/>
      <c r="C854" s="54"/>
      <c r="D854" s="67"/>
      <c r="E854" s="67"/>
      <c r="F854" s="54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8.75" customHeight="1">
      <c r="A855" s="75"/>
      <c r="B855" s="54"/>
      <c r="C855" s="54"/>
      <c r="D855" s="67"/>
      <c r="E855" s="67"/>
      <c r="F855" s="54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8.75" customHeight="1">
      <c r="A856" s="75"/>
      <c r="B856" s="54"/>
      <c r="C856" s="54"/>
      <c r="D856" s="67"/>
      <c r="E856" s="67"/>
      <c r="F856" s="54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8.75" customHeight="1">
      <c r="A857" s="75"/>
      <c r="B857" s="54"/>
      <c r="C857" s="54"/>
      <c r="D857" s="67"/>
      <c r="E857" s="67"/>
      <c r="F857" s="54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8.75" customHeight="1">
      <c r="A858" s="75"/>
      <c r="B858" s="54"/>
      <c r="C858" s="54"/>
      <c r="D858" s="67"/>
      <c r="E858" s="67"/>
      <c r="F858" s="54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8.75" customHeight="1">
      <c r="A859" s="75"/>
      <c r="B859" s="54"/>
      <c r="C859" s="54"/>
      <c r="D859" s="67"/>
      <c r="E859" s="67"/>
      <c r="F859" s="54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8.75" customHeight="1">
      <c r="A860" s="75"/>
      <c r="B860" s="54"/>
      <c r="C860" s="54"/>
      <c r="D860" s="67"/>
      <c r="E860" s="67"/>
      <c r="F860" s="54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8.75" customHeight="1">
      <c r="A861" s="75"/>
      <c r="B861" s="54"/>
      <c r="C861" s="54"/>
      <c r="D861" s="67"/>
      <c r="E861" s="67"/>
      <c r="F861" s="54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8.75" customHeight="1">
      <c r="A862" s="75"/>
      <c r="B862" s="54"/>
      <c r="C862" s="54"/>
      <c r="D862" s="67"/>
      <c r="E862" s="67"/>
      <c r="F862" s="54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8.75" customHeight="1">
      <c r="A863" s="75"/>
      <c r="B863" s="54"/>
      <c r="C863" s="54"/>
      <c r="D863" s="67"/>
      <c r="E863" s="67"/>
      <c r="F863" s="54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8.75" customHeight="1">
      <c r="A864" s="75"/>
      <c r="B864" s="54"/>
      <c r="C864" s="54"/>
      <c r="D864" s="67"/>
      <c r="E864" s="67"/>
      <c r="F864" s="54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8.75" customHeight="1">
      <c r="A865" s="75"/>
      <c r="B865" s="54"/>
      <c r="C865" s="54"/>
      <c r="D865" s="67"/>
      <c r="E865" s="67"/>
      <c r="F865" s="54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8.75" customHeight="1">
      <c r="A866" s="75"/>
      <c r="B866" s="54"/>
      <c r="C866" s="54"/>
      <c r="D866" s="67"/>
      <c r="E866" s="67"/>
      <c r="F866" s="54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8.75" customHeight="1">
      <c r="A867" s="75"/>
      <c r="B867" s="54"/>
      <c r="C867" s="54"/>
      <c r="D867" s="67"/>
      <c r="E867" s="67"/>
      <c r="F867" s="54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8.75" customHeight="1">
      <c r="A868" s="75"/>
      <c r="B868" s="54"/>
      <c r="C868" s="54"/>
      <c r="D868" s="67"/>
      <c r="E868" s="67"/>
      <c r="F868" s="54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8.75" customHeight="1">
      <c r="A869" s="75"/>
      <c r="B869" s="54"/>
      <c r="C869" s="54"/>
      <c r="D869" s="67"/>
      <c r="E869" s="67"/>
      <c r="F869" s="54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8.75" customHeight="1">
      <c r="A870" s="75"/>
      <c r="B870" s="54"/>
      <c r="C870" s="54"/>
      <c r="D870" s="67"/>
      <c r="E870" s="67"/>
      <c r="F870" s="54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8.75" customHeight="1">
      <c r="A871" s="75"/>
      <c r="B871" s="54"/>
      <c r="C871" s="54"/>
      <c r="D871" s="67"/>
      <c r="E871" s="67"/>
      <c r="F871" s="54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8.75" customHeight="1">
      <c r="A872" s="75"/>
      <c r="B872" s="54"/>
      <c r="C872" s="54"/>
      <c r="D872" s="67"/>
      <c r="E872" s="67"/>
      <c r="F872" s="54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8.75" customHeight="1">
      <c r="A873" s="75"/>
      <c r="B873" s="54"/>
      <c r="C873" s="54"/>
      <c r="D873" s="67"/>
      <c r="E873" s="67"/>
      <c r="F873" s="54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8.75" customHeight="1">
      <c r="A874" s="75"/>
      <c r="B874" s="54"/>
      <c r="C874" s="54"/>
      <c r="D874" s="67"/>
      <c r="E874" s="67"/>
      <c r="F874" s="54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8.75" customHeight="1">
      <c r="A875" s="75"/>
      <c r="B875" s="54"/>
      <c r="C875" s="54"/>
      <c r="D875" s="67"/>
      <c r="E875" s="67"/>
      <c r="F875" s="54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8.75" customHeight="1">
      <c r="A876" s="75"/>
      <c r="B876" s="54"/>
      <c r="C876" s="54"/>
      <c r="D876" s="67"/>
      <c r="E876" s="67"/>
      <c r="F876" s="54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8.75" customHeight="1">
      <c r="A877" s="75"/>
      <c r="B877" s="54"/>
      <c r="C877" s="54"/>
      <c r="D877" s="67"/>
      <c r="E877" s="67"/>
      <c r="F877" s="54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8.75" customHeight="1">
      <c r="A878" s="75"/>
      <c r="B878" s="54"/>
      <c r="C878" s="54"/>
      <c r="D878" s="67"/>
      <c r="E878" s="67"/>
      <c r="F878" s="54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8.75" customHeight="1">
      <c r="A879" s="75"/>
      <c r="B879" s="54"/>
      <c r="C879" s="54"/>
      <c r="D879" s="67"/>
      <c r="E879" s="67"/>
      <c r="F879" s="54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8.75" customHeight="1">
      <c r="A880" s="75"/>
      <c r="B880" s="54"/>
      <c r="C880" s="54"/>
      <c r="D880" s="67"/>
      <c r="E880" s="67"/>
      <c r="F880" s="54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8.75" customHeight="1">
      <c r="A881" s="75"/>
      <c r="B881" s="54"/>
      <c r="C881" s="54"/>
      <c r="D881" s="67"/>
      <c r="E881" s="67"/>
      <c r="F881" s="54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8.75" customHeight="1">
      <c r="A882" s="75"/>
      <c r="B882" s="54"/>
      <c r="C882" s="54"/>
      <c r="D882" s="67"/>
      <c r="E882" s="67"/>
      <c r="F882" s="54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8.75" customHeight="1">
      <c r="A883" s="75"/>
      <c r="B883" s="54"/>
      <c r="C883" s="54"/>
      <c r="D883" s="67"/>
      <c r="E883" s="67"/>
      <c r="F883" s="54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8.75" customHeight="1">
      <c r="A884" s="75"/>
      <c r="B884" s="54"/>
      <c r="C884" s="54"/>
      <c r="D884" s="67"/>
      <c r="E884" s="67"/>
      <c r="F884" s="54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8.75" customHeight="1">
      <c r="A885" s="75"/>
      <c r="B885" s="54"/>
      <c r="C885" s="54"/>
      <c r="D885" s="67"/>
      <c r="E885" s="67"/>
      <c r="F885" s="54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8.75" customHeight="1">
      <c r="A886" s="75"/>
      <c r="B886" s="54"/>
      <c r="C886" s="54"/>
      <c r="D886" s="67"/>
      <c r="E886" s="67"/>
      <c r="F886" s="54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8.75" customHeight="1">
      <c r="A887" s="75"/>
      <c r="B887" s="54"/>
      <c r="C887" s="54"/>
      <c r="D887" s="67"/>
      <c r="E887" s="67"/>
      <c r="F887" s="54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8.75" customHeight="1">
      <c r="A888" s="75"/>
      <c r="B888" s="54"/>
      <c r="C888" s="54"/>
      <c r="D888" s="67"/>
      <c r="E888" s="67"/>
      <c r="F888" s="54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8.75" customHeight="1">
      <c r="A889" s="75"/>
      <c r="B889" s="54"/>
      <c r="C889" s="54"/>
      <c r="D889" s="67"/>
      <c r="E889" s="67"/>
      <c r="F889" s="54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8.75" customHeight="1">
      <c r="A890" s="75"/>
      <c r="B890" s="54"/>
      <c r="C890" s="54"/>
      <c r="D890" s="67"/>
      <c r="E890" s="67"/>
      <c r="F890" s="54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8.75" customHeight="1">
      <c r="A891" s="75"/>
      <c r="B891" s="54"/>
      <c r="C891" s="54"/>
      <c r="D891" s="67"/>
      <c r="E891" s="67"/>
      <c r="F891" s="54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8.75" customHeight="1">
      <c r="A892" s="75"/>
      <c r="B892" s="54"/>
      <c r="C892" s="54"/>
      <c r="D892" s="67"/>
      <c r="E892" s="67"/>
      <c r="F892" s="54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8.75" customHeight="1">
      <c r="A893" s="75"/>
      <c r="B893" s="54"/>
      <c r="C893" s="54"/>
      <c r="D893" s="67"/>
      <c r="E893" s="67"/>
      <c r="F893" s="54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8.75" customHeight="1">
      <c r="A894" s="75"/>
      <c r="B894" s="54"/>
      <c r="C894" s="54"/>
      <c r="D894" s="67"/>
      <c r="E894" s="67"/>
      <c r="F894" s="54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8.75" customHeight="1">
      <c r="A895" s="75"/>
      <c r="B895" s="54"/>
      <c r="C895" s="54"/>
      <c r="D895" s="67"/>
      <c r="E895" s="67"/>
      <c r="F895" s="54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8.75" customHeight="1">
      <c r="A896" s="75"/>
      <c r="B896" s="54"/>
      <c r="C896" s="54"/>
      <c r="D896" s="67"/>
      <c r="E896" s="67"/>
      <c r="F896" s="54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8.75" customHeight="1">
      <c r="A897" s="75"/>
      <c r="B897" s="54"/>
      <c r="C897" s="54"/>
      <c r="D897" s="67"/>
      <c r="E897" s="67"/>
      <c r="F897" s="54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8.75" customHeight="1">
      <c r="A898" s="75"/>
      <c r="B898" s="54"/>
      <c r="C898" s="54"/>
      <c r="D898" s="67"/>
      <c r="E898" s="67"/>
      <c r="F898" s="54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8.75" customHeight="1">
      <c r="A899" s="75"/>
      <c r="B899" s="54"/>
      <c r="C899" s="54"/>
      <c r="D899" s="67"/>
      <c r="E899" s="67"/>
      <c r="F899" s="54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8.75" customHeight="1">
      <c r="A900" s="75"/>
      <c r="B900" s="54"/>
      <c r="C900" s="54"/>
      <c r="D900" s="67"/>
      <c r="E900" s="67"/>
      <c r="F900" s="54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8.75" customHeight="1">
      <c r="A901" s="75"/>
      <c r="B901" s="54"/>
      <c r="C901" s="54"/>
      <c r="D901" s="67"/>
      <c r="E901" s="67"/>
      <c r="F901" s="54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8.75" customHeight="1">
      <c r="A902" s="75"/>
      <c r="B902" s="54"/>
      <c r="C902" s="54"/>
      <c r="D902" s="67"/>
      <c r="E902" s="67"/>
      <c r="F902" s="54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8.75" customHeight="1">
      <c r="A903" s="75"/>
      <c r="B903" s="54"/>
      <c r="C903" s="54"/>
      <c r="D903" s="67"/>
      <c r="E903" s="67"/>
      <c r="F903" s="54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8.75" customHeight="1">
      <c r="A904" s="75"/>
      <c r="B904" s="54"/>
      <c r="C904" s="54"/>
      <c r="D904" s="67"/>
      <c r="E904" s="67"/>
      <c r="F904" s="54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8.75" customHeight="1">
      <c r="A905" s="75"/>
      <c r="B905" s="54"/>
      <c r="C905" s="54"/>
      <c r="D905" s="67"/>
      <c r="E905" s="67"/>
      <c r="F905" s="54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8.75" customHeight="1">
      <c r="A906" s="75"/>
      <c r="B906" s="54"/>
      <c r="C906" s="54"/>
      <c r="D906" s="67"/>
      <c r="E906" s="67"/>
      <c r="F906" s="54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8.75" customHeight="1">
      <c r="A907" s="75"/>
      <c r="B907" s="54"/>
      <c r="C907" s="54"/>
      <c r="D907" s="67"/>
      <c r="E907" s="67"/>
      <c r="F907" s="54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8.75" customHeight="1">
      <c r="A908" s="75"/>
      <c r="B908" s="54"/>
      <c r="C908" s="54"/>
      <c r="D908" s="67"/>
      <c r="E908" s="67"/>
      <c r="F908" s="54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8.75" customHeight="1">
      <c r="A909" s="75"/>
      <c r="B909" s="54"/>
      <c r="C909" s="54"/>
      <c r="D909" s="67"/>
      <c r="E909" s="67"/>
      <c r="F909" s="54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</sheetData>
  <mergeCells count="1">
    <mergeCell ref="A46:D46"/>
  </mergeCells>
  <dataValidations>
    <dataValidation type="list" allowBlank="1" showErrorMessage="1" sqref="D12:D15 D19 D21:D23 D27:D31 D36:D38 D42:D44">
      <formula1>"YES,NO,NA"</formula1>
    </dataValidation>
  </dataValidations>
  <hyperlinks>
    <hyperlink r:id="rId1" location="heading=h.edfm5bjyc68w" ref="C1"/>
    <hyperlink display="Go to Detailed Calculations" location="'DETAILED CALCULCATIONS'!A1" ref="D20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6"/>
      <c r="B1" s="76"/>
      <c r="C1" s="76"/>
      <c r="D1" s="76"/>
      <c r="E1" s="76"/>
      <c r="F1" s="76"/>
      <c r="G1" s="76"/>
      <c r="H1" s="76"/>
      <c r="I1" s="76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8"/>
      <c r="AB1" s="78"/>
    </row>
    <row r="2">
      <c r="A2" s="76"/>
      <c r="B2" s="76" t="s">
        <v>105</v>
      </c>
      <c r="D2" s="23" t="s">
        <v>106</v>
      </c>
      <c r="E2" s="79" t="s">
        <v>107</v>
      </c>
      <c r="F2" s="80"/>
      <c r="G2" s="81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8"/>
      <c r="AB2" s="78"/>
    </row>
    <row r="3">
      <c r="A3" s="76"/>
      <c r="B3" s="82" t="s">
        <v>4</v>
      </c>
      <c r="C3" s="80"/>
      <c r="D3" s="83"/>
      <c r="E3" s="84"/>
      <c r="F3" s="84"/>
      <c r="G3" s="85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8"/>
      <c r="AB3" s="78"/>
    </row>
    <row r="4">
      <c r="A4" s="76"/>
      <c r="B4" s="86" t="s">
        <v>108</v>
      </c>
      <c r="C4" s="87" t="s">
        <v>109</v>
      </c>
      <c r="D4" s="88" t="s">
        <v>110</v>
      </c>
      <c r="E4" s="88" t="s">
        <v>111</v>
      </c>
      <c r="F4" s="88" t="s">
        <v>112</v>
      </c>
      <c r="G4" s="89" t="s">
        <v>113</v>
      </c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8"/>
      <c r="AB4" s="78"/>
    </row>
    <row r="5">
      <c r="A5" s="76"/>
      <c r="B5" s="90" t="s">
        <v>114</v>
      </c>
      <c r="C5" s="91" t="s">
        <v>115</v>
      </c>
      <c r="D5" s="92">
        <v>0.0</v>
      </c>
      <c r="E5" s="93" t="s">
        <v>116</v>
      </c>
      <c r="F5" s="93">
        <v>10.0</v>
      </c>
      <c r="G5" s="94">
        <f t="shared" ref="G5:G8" si="1">D5*F5</f>
        <v>0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8"/>
      <c r="AB5" s="78"/>
    </row>
    <row r="6">
      <c r="A6" s="76"/>
      <c r="B6" s="95"/>
      <c r="C6" s="91" t="s">
        <v>117</v>
      </c>
      <c r="D6" s="92">
        <v>0.0</v>
      </c>
      <c r="E6" s="93" t="s">
        <v>118</v>
      </c>
      <c r="F6" s="93">
        <v>0.2</v>
      </c>
      <c r="G6" s="94">
        <f t="shared" si="1"/>
        <v>0</v>
      </c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8"/>
      <c r="AB6" s="78"/>
    </row>
    <row r="7">
      <c r="A7" s="76"/>
      <c r="B7" s="95"/>
      <c r="C7" s="91" t="s">
        <v>119</v>
      </c>
      <c r="D7" s="92">
        <v>0.0</v>
      </c>
      <c r="E7" s="93" t="s">
        <v>116</v>
      </c>
      <c r="F7" s="93">
        <v>10.0</v>
      </c>
      <c r="G7" s="94">
        <f t="shared" si="1"/>
        <v>0</v>
      </c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8"/>
      <c r="AB7" s="78"/>
    </row>
    <row r="8">
      <c r="A8" s="76"/>
      <c r="B8" s="90"/>
      <c r="C8" s="91" t="s">
        <v>120</v>
      </c>
      <c r="D8" s="92">
        <v>0.0</v>
      </c>
      <c r="E8" s="93" t="s">
        <v>116</v>
      </c>
      <c r="F8" s="93">
        <v>10.0</v>
      </c>
      <c r="G8" s="94">
        <f t="shared" si="1"/>
        <v>0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8"/>
      <c r="AB8" s="78"/>
    </row>
    <row r="9" ht="14.25" customHeight="1">
      <c r="A9" s="76"/>
      <c r="B9" s="96"/>
      <c r="C9" s="97"/>
      <c r="D9" s="97"/>
      <c r="E9" s="97"/>
      <c r="F9" s="97" t="s">
        <v>121</v>
      </c>
      <c r="G9" s="98">
        <f>SUM(G5:G8)</f>
        <v>0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8"/>
      <c r="AB9" s="78"/>
    </row>
    <row r="10">
      <c r="A10" s="76"/>
      <c r="B10" s="86" t="s">
        <v>122</v>
      </c>
      <c r="C10" s="87" t="s">
        <v>109</v>
      </c>
      <c r="D10" s="88" t="s">
        <v>110</v>
      </c>
      <c r="E10" s="88" t="s">
        <v>111</v>
      </c>
      <c r="F10" s="88" t="s">
        <v>112</v>
      </c>
      <c r="G10" s="89" t="s">
        <v>113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8"/>
      <c r="AB10" s="78"/>
    </row>
    <row r="11">
      <c r="A11" s="76"/>
      <c r="B11" s="99" t="s">
        <v>123</v>
      </c>
      <c r="C11" s="100" t="s">
        <v>124</v>
      </c>
      <c r="D11" s="92">
        <v>0.0</v>
      </c>
      <c r="E11" s="93" t="s">
        <v>125</v>
      </c>
      <c r="F11" s="93">
        <v>10.0</v>
      </c>
      <c r="G11" s="94">
        <f t="shared" ref="G11:G15" si="2">D11*F11</f>
        <v>0</v>
      </c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  <c r="AB11" s="78"/>
    </row>
    <row r="12">
      <c r="A12" s="76"/>
      <c r="B12" s="95"/>
      <c r="C12" s="100" t="s">
        <v>126</v>
      </c>
      <c r="D12" s="92">
        <v>0.0</v>
      </c>
      <c r="E12" s="93" t="s">
        <v>125</v>
      </c>
      <c r="F12" s="93">
        <v>10.0</v>
      </c>
      <c r="G12" s="94">
        <f t="shared" si="2"/>
        <v>0</v>
      </c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8"/>
    </row>
    <row r="13">
      <c r="A13" s="76"/>
      <c r="B13" s="95"/>
      <c r="C13" s="100" t="s">
        <v>127</v>
      </c>
      <c r="D13" s="92">
        <v>0.0</v>
      </c>
      <c r="E13" s="93" t="s">
        <v>125</v>
      </c>
      <c r="F13" s="93">
        <v>10.0</v>
      </c>
      <c r="G13" s="94">
        <f t="shared" si="2"/>
        <v>0</v>
      </c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8"/>
      <c r="AB13" s="78"/>
    </row>
    <row r="14">
      <c r="A14" s="76"/>
      <c r="B14" s="95"/>
      <c r="C14" s="100" t="s">
        <v>128</v>
      </c>
      <c r="D14" s="92">
        <v>0.0</v>
      </c>
      <c r="E14" s="93" t="s">
        <v>125</v>
      </c>
      <c r="F14" s="93">
        <v>10.0</v>
      </c>
      <c r="G14" s="94">
        <f t="shared" si="2"/>
        <v>0</v>
      </c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8"/>
      <c r="AB14" s="78"/>
    </row>
    <row r="15">
      <c r="A15" s="76"/>
      <c r="B15" s="95"/>
      <c r="C15" s="100" t="s">
        <v>129</v>
      </c>
      <c r="D15" s="92">
        <v>0.0</v>
      </c>
      <c r="E15" s="93" t="s">
        <v>130</v>
      </c>
      <c r="F15" s="93">
        <v>45.0</v>
      </c>
      <c r="G15" s="94">
        <f t="shared" si="2"/>
        <v>0</v>
      </c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8"/>
      <c r="AB15" s="78"/>
    </row>
    <row r="16" ht="17.25" customHeight="1">
      <c r="A16" s="76"/>
      <c r="B16" s="96"/>
      <c r="C16" s="97" t="s">
        <v>121</v>
      </c>
      <c r="G16" s="98">
        <f>SUM(G11:G15)</f>
        <v>0</v>
      </c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8"/>
      <c r="AB16" s="78"/>
    </row>
    <row r="17">
      <c r="A17" s="76"/>
      <c r="B17" s="86" t="s">
        <v>131</v>
      </c>
      <c r="C17" s="87" t="s">
        <v>109</v>
      </c>
      <c r="D17" s="88" t="s">
        <v>110</v>
      </c>
      <c r="E17" s="88" t="s">
        <v>111</v>
      </c>
      <c r="F17" s="88" t="s">
        <v>112</v>
      </c>
      <c r="G17" s="89" t="s">
        <v>113</v>
      </c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  <c r="AB17" s="78"/>
    </row>
    <row r="18">
      <c r="A18" s="76"/>
      <c r="B18" s="90" t="s">
        <v>132</v>
      </c>
      <c r="C18" s="100" t="s">
        <v>133</v>
      </c>
      <c r="D18" s="92">
        <v>0.0</v>
      </c>
      <c r="E18" s="93" t="s">
        <v>125</v>
      </c>
      <c r="F18" s="93">
        <v>15.0</v>
      </c>
      <c r="G18" s="94">
        <f t="shared" ref="G18:G20" si="3">D18*F18</f>
        <v>0</v>
      </c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8"/>
      <c r="AB18" s="78"/>
    </row>
    <row r="19">
      <c r="A19" s="76"/>
      <c r="B19" s="95"/>
      <c r="C19" s="100" t="s">
        <v>134</v>
      </c>
      <c r="D19" s="92">
        <v>0.0</v>
      </c>
      <c r="E19" s="93" t="s">
        <v>125</v>
      </c>
      <c r="F19" s="93">
        <v>15.0</v>
      </c>
      <c r="G19" s="94">
        <f t="shared" si="3"/>
        <v>0</v>
      </c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8"/>
      <c r="AB19" s="78"/>
    </row>
    <row r="20">
      <c r="A20" s="76"/>
      <c r="B20" s="95"/>
      <c r="C20" s="91" t="s">
        <v>135</v>
      </c>
      <c r="D20" s="92">
        <v>0.0</v>
      </c>
      <c r="E20" s="93" t="s">
        <v>130</v>
      </c>
      <c r="F20" s="93">
        <v>200.0</v>
      </c>
      <c r="G20" s="94">
        <f t="shared" si="3"/>
        <v>0</v>
      </c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8"/>
      <c r="AB20" s="78"/>
    </row>
    <row r="21">
      <c r="A21" s="76"/>
      <c r="B21" s="101"/>
      <c r="C21" s="102" t="s">
        <v>121</v>
      </c>
      <c r="D21" s="103"/>
      <c r="E21" s="103"/>
      <c r="F21" s="103"/>
      <c r="G21" s="104">
        <f>SUM(G18:G20)</f>
        <v>0</v>
      </c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8"/>
      <c r="AB21" s="78"/>
    </row>
    <row r="22">
      <c r="A22" s="76"/>
      <c r="B22" s="105"/>
      <c r="C22" s="78"/>
      <c r="D22" s="106"/>
      <c r="E22" s="107"/>
      <c r="F22" s="107"/>
      <c r="G22" s="10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/>
      <c r="AB22" s="78"/>
    </row>
    <row r="23">
      <c r="A23" s="76"/>
      <c r="B23" s="108" t="s">
        <v>6</v>
      </c>
      <c r="C23" s="80"/>
      <c r="D23" s="109"/>
      <c r="E23" s="110"/>
      <c r="F23" s="110"/>
      <c r="G23" s="111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8"/>
      <c r="AB23" s="78"/>
    </row>
    <row r="24" hidden="1">
      <c r="A24" s="76"/>
      <c r="B24" s="112"/>
      <c r="C24" s="78"/>
      <c r="D24" s="106"/>
      <c r="E24" s="107"/>
      <c r="F24" s="107"/>
      <c r="G24" s="113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8"/>
      <c r="AB24" s="78"/>
    </row>
    <row r="25">
      <c r="A25" s="76"/>
      <c r="B25" s="86" t="s">
        <v>108</v>
      </c>
      <c r="C25" s="87" t="s">
        <v>109</v>
      </c>
      <c r="D25" s="88" t="s">
        <v>110</v>
      </c>
      <c r="E25" s="88" t="s">
        <v>111</v>
      </c>
      <c r="F25" s="88" t="s">
        <v>112</v>
      </c>
      <c r="G25" s="89" t="s">
        <v>113</v>
      </c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</row>
    <row r="26">
      <c r="A26" s="76"/>
      <c r="B26" s="90" t="s">
        <v>136</v>
      </c>
      <c r="C26" s="91" t="s">
        <v>137</v>
      </c>
      <c r="D26" s="92">
        <v>0.0</v>
      </c>
      <c r="E26" s="93" t="s">
        <v>116</v>
      </c>
      <c r="F26" s="93">
        <v>10.0</v>
      </c>
      <c r="G26" s="94">
        <f t="shared" ref="G26:G33" si="4">D26*F26</f>
        <v>0</v>
      </c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8"/>
      <c r="AB26" s="78"/>
    </row>
    <row r="27">
      <c r="A27" s="76"/>
      <c r="B27" s="95"/>
      <c r="C27" s="91" t="s">
        <v>138</v>
      </c>
      <c r="D27" s="92">
        <v>0.0</v>
      </c>
      <c r="E27" s="93" t="s">
        <v>116</v>
      </c>
      <c r="F27" s="93">
        <v>1.0</v>
      </c>
      <c r="G27" s="94">
        <f t="shared" si="4"/>
        <v>0</v>
      </c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8"/>
      <c r="AB27" s="78"/>
    </row>
    <row r="28">
      <c r="A28" s="76"/>
      <c r="B28" s="95"/>
      <c r="C28" s="91" t="s">
        <v>139</v>
      </c>
      <c r="D28" s="92">
        <v>0.0</v>
      </c>
      <c r="E28" s="93" t="s">
        <v>116</v>
      </c>
      <c r="F28" s="93">
        <v>1.0</v>
      </c>
      <c r="G28" s="94">
        <f t="shared" si="4"/>
        <v>0</v>
      </c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8"/>
      <c r="AB28" s="78"/>
    </row>
    <row r="29">
      <c r="A29" s="76"/>
      <c r="B29" s="95"/>
      <c r="C29" s="91" t="s">
        <v>140</v>
      </c>
      <c r="D29" s="92">
        <v>0.0</v>
      </c>
      <c r="E29" s="93" t="s">
        <v>116</v>
      </c>
      <c r="F29" s="93">
        <v>1.0</v>
      </c>
      <c r="G29" s="94">
        <f t="shared" si="4"/>
        <v>0</v>
      </c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8"/>
      <c r="AB29" s="78"/>
    </row>
    <row r="30">
      <c r="A30" s="76"/>
      <c r="B30" s="95"/>
      <c r="C30" s="91" t="s">
        <v>141</v>
      </c>
      <c r="D30" s="92">
        <v>0.0</v>
      </c>
      <c r="E30" s="93" t="s">
        <v>116</v>
      </c>
      <c r="F30" s="93">
        <v>10.0</v>
      </c>
      <c r="G30" s="94">
        <f t="shared" si="4"/>
        <v>0</v>
      </c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8"/>
      <c r="AB30" s="78"/>
    </row>
    <row r="31">
      <c r="A31" s="76"/>
      <c r="B31" s="95"/>
      <c r="C31" s="91" t="s">
        <v>142</v>
      </c>
      <c r="D31" s="92">
        <v>0.0</v>
      </c>
      <c r="E31" s="93" t="s">
        <v>116</v>
      </c>
      <c r="F31" s="93">
        <v>5.0</v>
      </c>
      <c r="G31" s="94">
        <f t="shared" si="4"/>
        <v>0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8"/>
      <c r="AB31" s="78"/>
    </row>
    <row r="32">
      <c r="A32" s="76"/>
      <c r="B32" s="95"/>
      <c r="C32" s="91" t="s">
        <v>143</v>
      </c>
      <c r="D32" s="92">
        <v>0.0</v>
      </c>
      <c r="E32" s="93" t="s">
        <v>116</v>
      </c>
      <c r="F32" s="93">
        <v>10.0</v>
      </c>
      <c r="G32" s="94">
        <f t="shared" si="4"/>
        <v>0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8"/>
      <c r="AB32" s="78"/>
    </row>
    <row r="33">
      <c r="A33" s="76"/>
      <c r="B33" s="95"/>
      <c r="C33" s="91" t="s">
        <v>144</v>
      </c>
      <c r="D33" s="92">
        <v>0.0</v>
      </c>
      <c r="E33" s="93" t="s">
        <v>116</v>
      </c>
      <c r="F33" s="93">
        <v>25.0</v>
      </c>
      <c r="G33" s="94">
        <f t="shared" si="4"/>
        <v>0</v>
      </c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8"/>
      <c r="AB33" s="78"/>
    </row>
    <row r="34" ht="15.75" customHeight="1">
      <c r="A34" s="76"/>
      <c r="B34" s="96"/>
      <c r="C34" s="97" t="s">
        <v>121</v>
      </c>
      <c r="G34" s="98">
        <f>SUM(G26:G33)</f>
        <v>0</v>
      </c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8"/>
      <c r="AB34" s="78"/>
    </row>
    <row r="35">
      <c r="A35" s="76"/>
      <c r="B35" s="86" t="s">
        <v>122</v>
      </c>
      <c r="C35" s="87" t="s">
        <v>109</v>
      </c>
      <c r="D35" s="88" t="s">
        <v>110</v>
      </c>
      <c r="E35" s="88" t="s">
        <v>111</v>
      </c>
      <c r="F35" s="88" t="s">
        <v>112</v>
      </c>
      <c r="G35" s="89" t="s">
        <v>113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8"/>
      <c r="AB35" s="78"/>
    </row>
    <row r="36" ht="18.75" customHeight="1">
      <c r="A36" s="76"/>
      <c r="B36" s="99" t="s">
        <v>145</v>
      </c>
      <c r="C36" s="100" t="s">
        <v>146</v>
      </c>
      <c r="D36" s="92">
        <v>0.0</v>
      </c>
      <c r="E36" s="93" t="s">
        <v>125</v>
      </c>
      <c r="F36" s="93">
        <v>10.0</v>
      </c>
      <c r="G36" s="94">
        <f t="shared" ref="G36:G39" si="5">D36*F36</f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8"/>
      <c r="AB36" s="78"/>
    </row>
    <row r="37" ht="18.75" customHeight="1">
      <c r="A37" s="76"/>
      <c r="B37" s="95"/>
      <c r="C37" s="100" t="s">
        <v>147</v>
      </c>
      <c r="D37" s="92">
        <v>0.0</v>
      </c>
      <c r="E37" s="93" t="s">
        <v>125</v>
      </c>
      <c r="F37" s="93">
        <v>10.0</v>
      </c>
      <c r="G37" s="94">
        <f t="shared" si="5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8"/>
      <c r="AB37" s="78"/>
    </row>
    <row r="38" ht="18.75" customHeight="1">
      <c r="A38" s="76"/>
      <c r="B38" s="95"/>
      <c r="C38" s="100" t="s">
        <v>148</v>
      </c>
      <c r="D38" s="92">
        <v>0.0</v>
      </c>
      <c r="E38" s="93" t="s">
        <v>125</v>
      </c>
      <c r="F38" s="93">
        <v>10.0</v>
      </c>
      <c r="G38" s="94">
        <f t="shared" si="5"/>
        <v>0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8"/>
      <c r="AB38" s="78"/>
    </row>
    <row r="39" ht="18.75" customHeight="1">
      <c r="A39" s="76"/>
      <c r="B39" s="95"/>
      <c r="C39" s="100" t="s">
        <v>149</v>
      </c>
      <c r="D39" s="92">
        <v>0.0</v>
      </c>
      <c r="E39" s="93" t="s">
        <v>130</v>
      </c>
      <c r="F39" s="93">
        <v>45.0</v>
      </c>
      <c r="G39" s="94">
        <f t="shared" si="5"/>
        <v>0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8"/>
      <c r="AB39" s="78"/>
    </row>
    <row r="40" ht="15.0" customHeight="1">
      <c r="A40" s="76"/>
      <c r="B40" s="96"/>
      <c r="C40" s="97" t="s">
        <v>121</v>
      </c>
      <c r="G40" s="98">
        <f>SUM(G36:G39)</f>
        <v>0</v>
      </c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8"/>
      <c r="AB40" s="78"/>
    </row>
    <row r="41">
      <c r="A41" s="76"/>
      <c r="B41" s="86" t="s">
        <v>131</v>
      </c>
      <c r="C41" s="87" t="s">
        <v>109</v>
      </c>
      <c r="D41" s="88" t="s">
        <v>110</v>
      </c>
      <c r="E41" s="88" t="s">
        <v>111</v>
      </c>
      <c r="F41" s="88" t="s">
        <v>112</v>
      </c>
      <c r="G41" s="89" t="s">
        <v>113</v>
      </c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8"/>
      <c r="AB41" s="78"/>
    </row>
    <row r="42">
      <c r="A42" s="76"/>
      <c r="B42" s="90" t="s">
        <v>150</v>
      </c>
      <c r="C42" s="100" t="s">
        <v>151</v>
      </c>
      <c r="D42" s="92">
        <v>0.0</v>
      </c>
      <c r="E42" s="93" t="s">
        <v>125</v>
      </c>
      <c r="F42" s="93">
        <v>15.0</v>
      </c>
      <c r="G42" s="94">
        <f t="shared" ref="G42:G45" si="6">D42*F42</f>
        <v>0</v>
      </c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8"/>
      <c r="AB42" s="78"/>
    </row>
    <row r="43">
      <c r="A43" s="76"/>
      <c r="B43" s="95"/>
      <c r="C43" s="100" t="s">
        <v>152</v>
      </c>
      <c r="D43" s="92">
        <v>0.0</v>
      </c>
      <c r="E43" s="93" t="s">
        <v>125</v>
      </c>
      <c r="F43" s="93">
        <v>15.0</v>
      </c>
      <c r="G43" s="94">
        <f t="shared" si="6"/>
        <v>0</v>
      </c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8"/>
      <c r="AB43" s="78"/>
    </row>
    <row r="44">
      <c r="A44" s="76"/>
      <c r="B44" s="95"/>
      <c r="C44" s="100" t="s">
        <v>153</v>
      </c>
      <c r="D44" s="92">
        <v>0.0</v>
      </c>
      <c r="E44" s="93" t="s">
        <v>125</v>
      </c>
      <c r="F44" s="93">
        <v>15.0</v>
      </c>
      <c r="G44" s="94">
        <f t="shared" si="6"/>
        <v>0</v>
      </c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8"/>
      <c r="AB44" s="78"/>
    </row>
    <row r="45">
      <c r="A45" s="76"/>
      <c r="B45" s="95"/>
      <c r="C45" s="100" t="s">
        <v>154</v>
      </c>
      <c r="D45" s="92">
        <v>0.0</v>
      </c>
      <c r="E45" s="93" t="s">
        <v>125</v>
      </c>
      <c r="F45" s="93">
        <v>15.0</v>
      </c>
      <c r="G45" s="94">
        <f t="shared" si="6"/>
        <v>0</v>
      </c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8"/>
      <c r="AB45" s="78"/>
    </row>
    <row r="46">
      <c r="A46" s="76"/>
      <c r="B46" s="101"/>
      <c r="C46" s="102" t="s">
        <v>121</v>
      </c>
      <c r="D46" s="103"/>
      <c r="E46" s="103"/>
      <c r="F46" s="103"/>
      <c r="G46" s="104">
        <f>SUM(G42:G45)</f>
        <v>0</v>
      </c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8"/>
      <c r="AB46" s="78"/>
    </row>
    <row r="47">
      <c r="A47" s="76"/>
      <c r="B47" s="78"/>
      <c r="C47" s="78"/>
      <c r="D47" s="78"/>
      <c r="E47" s="107"/>
      <c r="F47" s="107"/>
      <c r="G47" s="10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8"/>
      <c r="AB47" s="78"/>
    </row>
    <row r="48">
      <c r="A48" s="76"/>
      <c r="B48" s="114" t="s">
        <v>8</v>
      </c>
      <c r="C48" s="80"/>
      <c r="D48" s="115"/>
      <c r="E48" s="110"/>
      <c r="F48" s="110"/>
      <c r="G48" s="111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8"/>
      <c r="AB48" s="78"/>
    </row>
    <row r="49">
      <c r="A49" s="76"/>
      <c r="B49" s="86" t="s">
        <v>108</v>
      </c>
      <c r="C49" s="87" t="s">
        <v>109</v>
      </c>
      <c r="D49" s="88" t="s">
        <v>110</v>
      </c>
      <c r="E49" s="88" t="s">
        <v>111</v>
      </c>
      <c r="F49" s="88" t="s">
        <v>112</v>
      </c>
      <c r="G49" s="89" t="s">
        <v>113</v>
      </c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8"/>
      <c r="AB49" s="78"/>
    </row>
    <row r="50">
      <c r="A50" s="76"/>
      <c r="B50" s="90" t="s">
        <v>155</v>
      </c>
      <c r="C50" s="91" t="s">
        <v>156</v>
      </c>
      <c r="D50" s="92">
        <v>0.0</v>
      </c>
      <c r="E50" s="93" t="s">
        <v>116</v>
      </c>
      <c r="F50" s="93">
        <v>1.0</v>
      </c>
      <c r="G50" s="94">
        <f t="shared" ref="G50:G55" si="7">D50*F50</f>
        <v>0</v>
      </c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8"/>
      <c r="AB50" s="78"/>
    </row>
    <row r="51">
      <c r="A51" s="76"/>
      <c r="B51" s="95"/>
      <c r="C51" s="116" t="s">
        <v>157</v>
      </c>
      <c r="D51" s="92">
        <v>0.0</v>
      </c>
      <c r="E51" s="93" t="s">
        <v>116</v>
      </c>
      <c r="F51" s="93">
        <v>1.0</v>
      </c>
      <c r="G51" s="94">
        <f t="shared" si="7"/>
        <v>0</v>
      </c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8"/>
      <c r="AB51" s="78"/>
    </row>
    <row r="52">
      <c r="A52" s="76"/>
      <c r="B52" s="95"/>
      <c r="C52" s="91" t="s">
        <v>158</v>
      </c>
      <c r="D52" s="92">
        <v>0.0</v>
      </c>
      <c r="E52" s="93" t="s">
        <v>116</v>
      </c>
      <c r="F52" s="93">
        <v>10.0</v>
      </c>
      <c r="G52" s="94">
        <f t="shared" si="7"/>
        <v>0</v>
      </c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8"/>
      <c r="AB52" s="78"/>
    </row>
    <row r="53">
      <c r="A53" s="76"/>
      <c r="B53" s="95"/>
      <c r="C53" s="117" t="s">
        <v>159</v>
      </c>
      <c r="D53" s="92">
        <v>0.0</v>
      </c>
      <c r="E53" s="93" t="s">
        <v>116</v>
      </c>
      <c r="F53" s="93">
        <v>25.0</v>
      </c>
      <c r="G53" s="94">
        <f t="shared" si="7"/>
        <v>0</v>
      </c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8"/>
      <c r="AB53" s="78"/>
    </row>
    <row r="54">
      <c r="A54" s="76"/>
      <c r="B54" s="95"/>
      <c r="C54" s="117" t="s">
        <v>160</v>
      </c>
      <c r="D54" s="92">
        <v>0.0</v>
      </c>
      <c r="E54" s="93" t="s">
        <v>116</v>
      </c>
      <c r="F54" s="93">
        <v>50.0</v>
      </c>
      <c r="G54" s="94">
        <f t="shared" si="7"/>
        <v>0</v>
      </c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8"/>
      <c r="AB54" s="78"/>
    </row>
    <row r="55">
      <c r="A55" s="76"/>
      <c r="B55" s="95"/>
      <c r="C55" s="100" t="s">
        <v>161</v>
      </c>
      <c r="D55" s="92">
        <v>0.0</v>
      </c>
      <c r="E55" s="93" t="s">
        <v>116</v>
      </c>
      <c r="F55" s="93">
        <v>0.2</v>
      </c>
      <c r="G55" s="94">
        <f t="shared" si="7"/>
        <v>0</v>
      </c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8"/>
      <c r="AB55" s="78"/>
    </row>
    <row r="56">
      <c r="A56" s="76"/>
      <c r="B56" s="96"/>
      <c r="C56" s="97" t="s">
        <v>121</v>
      </c>
      <c r="G56" s="98">
        <f>SUM(G50:G55)</f>
        <v>0</v>
      </c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8"/>
      <c r="AB56" s="78"/>
    </row>
    <row r="57">
      <c r="A57" s="76"/>
      <c r="B57" s="86" t="s">
        <v>122</v>
      </c>
      <c r="C57" s="87" t="s">
        <v>109</v>
      </c>
      <c r="D57" s="88" t="s">
        <v>110</v>
      </c>
      <c r="E57" s="88" t="s">
        <v>111</v>
      </c>
      <c r="F57" s="88" t="s">
        <v>112</v>
      </c>
      <c r="G57" s="89" t="s">
        <v>113</v>
      </c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</row>
    <row r="58">
      <c r="A58" s="76"/>
      <c r="B58" s="99" t="s">
        <v>162</v>
      </c>
      <c r="C58" s="100" t="s">
        <v>163</v>
      </c>
      <c r="D58" s="92">
        <v>0.0</v>
      </c>
      <c r="E58" s="93" t="s">
        <v>125</v>
      </c>
      <c r="F58" s="93">
        <v>10.0</v>
      </c>
      <c r="G58" s="94">
        <f t="shared" ref="G58:G63" si="8">D58*F58</f>
        <v>0</v>
      </c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</row>
    <row r="59">
      <c r="A59" s="76"/>
      <c r="B59" s="95"/>
      <c r="C59" s="100" t="s">
        <v>164</v>
      </c>
      <c r="D59" s="92">
        <v>0.0</v>
      </c>
      <c r="E59" s="93" t="s">
        <v>125</v>
      </c>
      <c r="F59" s="93">
        <v>10.0</v>
      </c>
      <c r="G59" s="94">
        <f t="shared" si="8"/>
        <v>0</v>
      </c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</row>
    <row r="60">
      <c r="A60" s="76"/>
      <c r="B60" s="95"/>
      <c r="C60" s="100" t="s">
        <v>165</v>
      </c>
      <c r="D60" s="92">
        <v>0.0</v>
      </c>
      <c r="E60" s="93" t="s">
        <v>130</v>
      </c>
      <c r="F60" s="93">
        <v>100.0</v>
      </c>
      <c r="G60" s="94">
        <f t="shared" si="8"/>
        <v>0</v>
      </c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</row>
    <row r="61">
      <c r="A61" s="76"/>
      <c r="B61" s="95"/>
      <c r="C61" s="100" t="s">
        <v>166</v>
      </c>
      <c r="D61" s="92">
        <v>0.0</v>
      </c>
      <c r="E61" s="93" t="s">
        <v>125</v>
      </c>
      <c r="F61" s="93">
        <v>10.0</v>
      </c>
      <c r="G61" s="94">
        <f t="shared" si="8"/>
        <v>0</v>
      </c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</row>
    <row r="62">
      <c r="A62" s="76"/>
      <c r="B62" s="95"/>
      <c r="C62" s="100" t="s">
        <v>167</v>
      </c>
      <c r="D62" s="92">
        <v>0.0</v>
      </c>
      <c r="E62" s="93" t="s">
        <v>130</v>
      </c>
      <c r="F62" s="93">
        <v>100.0</v>
      </c>
      <c r="G62" s="94">
        <f t="shared" si="8"/>
        <v>0</v>
      </c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</row>
    <row r="63">
      <c r="A63" s="76"/>
      <c r="B63" s="95"/>
      <c r="C63" s="100" t="s">
        <v>168</v>
      </c>
      <c r="D63" s="92">
        <v>0.0</v>
      </c>
      <c r="E63" s="93" t="s">
        <v>116</v>
      </c>
      <c r="F63" s="93">
        <v>150.0</v>
      </c>
      <c r="G63" s="94">
        <f t="shared" si="8"/>
        <v>0</v>
      </c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</row>
    <row r="64">
      <c r="A64" s="76"/>
      <c r="B64" s="96"/>
      <c r="C64" s="97" t="s">
        <v>121</v>
      </c>
      <c r="G64" s="98">
        <f>SUM(G58:G63)</f>
        <v>0</v>
      </c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</row>
    <row r="65">
      <c r="A65" s="76"/>
      <c r="B65" s="86" t="s">
        <v>131</v>
      </c>
      <c r="C65" s="87" t="s">
        <v>109</v>
      </c>
      <c r="D65" s="88" t="s">
        <v>110</v>
      </c>
      <c r="E65" s="88" t="s">
        <v>111</v>
      </c>
      <c r="F65" s="88" t="s">
        <v>112</v>
      </c>
      <c r="G65" s="89" t="s">
        <v>113</v>
      </c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</row>
    <row r="66">
      <c r="A66" s="76"/>
      <c r="B66" s="90" t="s">
        <v>169</v>
      </c>
      <c r="C66" s="100" t="s">
        <v>170</v>
      </c>
      <c r="D66" s="92">
        <v>0.0</v>
      </c>
      <c r="E66" s="93" t="s">
        <v>130</v>
      </c>
      <c r="F66" s="93">
        <v>200.0</v>
      </c>
      <c r="G66" s="94">
        <f t="shared" ref="G66:G68" si="9">D66*F66</f>
        <v>0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</row>
    <row r="67">
      <c r="A67" s="76"/>
      <c r="B67" s="95"/>
      <c r="C67" s="100" t="s">
        <v>171</v>
      </c>
      <c r="D67" s="92">
        <v>0.0</v>
      </c>
      <c r="E67" s="93" t="s">
        <v>130</v>
      </c>
      <c r="F67" s="93">
        <v>500.0</v>
      </c>
      <c r="G67" s="94">
        <f t="shared" si="9"/>
        <v>0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</row>
    <row r="68">
      <c r="A68" s="76"/>
      <c r="B68" s="95"/>
      <c r="C68" s="100" t="s">
        <v>172</v>
      </c>
      <c r="D68" s="92">
        <v>0.0</v>
      </c>
      <c r="E68" s="93" t="s">
        <v>125</v>
      </c>
      <c r="F68" s="93">
        <v>15.0</v>
      </c>
      <c r="G68" s="94">
        <f t="shared" si="9"/>
        <v>0</v>
      </c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</row>
    <row r="69">
      <c r="A69" s="76"/>
      <c r="B69" s="101"/>
      <c r="C69" s="102" t="s">
        <v>121</v>
      </c>
      <c r="D69" s="103"/>
      <c r="E69" s="103"/>
      <c r="F69" s="103"/>
      <c r="G69" s="104">
        <f>SUM(G66:G68)</f>
        <v>0</v>
      </c>
      <c r="H69" s="11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</row>
    <row r="70">
      <c r="A70" s="76"/>
      <c r="B70" s="78"/>
      <c r="C70" s="78"/>
      <c r="D70" s="106"/>
      <c r="E70" s="107"/>
      <c r="F70" s="107"/>
      <c r="G70" s="107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</row>
    <row r="71">
      <c r="A71" s="76"/>
      <c r="B71" s="119" t="s">
        <v>173</v>
      </c>
      <c r="C71" s="80"/>
      <c r="D71" s="120"/>
      <c r="E71" s="120"/>
      <c r="F71" s="120"/>
      <c r="G71" s="121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</row>
    <row r="72">
      <c r="A72" s="76"/>
      <c r="B72" s="122" t="s">
        <v>108</v>
      </c>
      <c r="C72" s="123" t="s">
        <v>109</v>
      </c>
      <c r="D72" s="124" t="s">
        <v>110</v>
      </c>
      <c r="E72" s="124" t="s">
        <v>111</v>
      </c>
      <c r="F72" s="124" t="s">
        <v>112</v>
      </c>
      <c r="G72" s="125" t="s">
        <v>113</v>
      </c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</row>
    <row r="73">
      <c r="A73" s="76"/>
      <c r="B73" s="126" t="s">
        <v>174</v>
      </c>
      <c r="C73" s="127" t="s">
        <v>175</v>
      </c>
      <c r="D73" s="128">
        <v>0.0</v>
      </c>
      <c r="E73" s="129" t="s">
        <v>116</v>
      </c>
      <c r="F73" s="130">
        <v>1.0</v>
      </c>
      <c r="G73" s="131">
        <f t="shared" ref="G73:G77" si="10">D73*F73</f>
        <v>0</v>
      </c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</row>
    <row r="74">
      <c r="A74" s="76"/>
      <c r="B74" s="95"/>
      <c r="C74" s="127" t="s">
        <v>176</v>
      </c>
      <c r="D74" s="128">
        <v>0.0</v>
      </c>
      <c r="E74" s="129" t="s">
        <v>116</v>
      </c>
      <c r="F74" s="130">
        <v>10.0</v>
      </c>
      <c r="G74" s="131">
        <f t="shared" si="10"/>
        <v>0</v>
      </c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</row>
    <row r="75">
      <c r="A75" s="76"/>
      <c r="B75" s="95"/>
      <c r="C75" s="127" t="s">
        <v>177</v>
      </c>
      <c r="D75" s="128">
        <v>0.0</v>
      </c>
      <c r="E75" s="129" t="s">
        <v>125</v>
      </c>
      <c r="F75" s="130">
        <v>1.0</v>
      </c>
      <c r="G75" s="131">
        <f t="shared" si="10"/>
        <v>0</v>
      </c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</row>
    <row r="76">
      <c r="A76" s="76"/>
      <c r="B76" s="95"/>
      <c r="C76" s="127" t="s">
        <v>178</v>
      </c>
      <c r="D76" s="128">
        <v>0.0</v>
      </c>
      <c r="E76" s="129" t="s">
        <v>116</v>
      </c>
      <c r="F76" s="130">
        <v>1.0</v>
      </c>
      <c r="G76" s="131">
        <f t="shared" si="10"/>
        <v>0</v>
      </c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</row>
    <row r="77">
      <c r="A77" s="76"/>
      <c r="B77" s="95"/>
      <c r="C77" s="127" t="s">
        <v>179</v>
      </c>
      <c r="D77" s="128">
        <v>0.0</v>
      </c>
      <c r="E77" s="129" t="s">
        <v>130</v>
      </c>
      <c r="F77" s="130">
        <v>10.0</v>
      </c>
      <c r="G77" s="131">
        <f t="shared" si="10"/>
        <v>0</v>
      </c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</row>
    <row r="78">
      <c r="A78" s="76"/>
      <c r="B78" s="95"/>
      <c r="C78" s="132" t="s">
        <v>180</v>
      </c>
      <c r="D78" s="128">
        <v>0.0</v>
      </c>
      <c r="E78" s="129" t="s">
        <v>116</v>
      </c>
      <c r="F78" s="133">
        <v>1.0</v>
      </c>
      <c r="G78" s="131">
        <f>D78*F77</f>
        <v>0</v>
      </c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</row>
    <row r="79">
      <c r="A79" s="76"/>
      <c r="B79" s="134"/>
      <c r="C79" s="135" t="s">
        <v>121</v>
      </c>
      <c r="G79" s="136">
        <f>SUM(G73:G78)</f>
        <v>0</v>
      </c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</row>
    <row r="80">
      <c r="A80" s="76"/>
      <c r="B80" s="122" t="s">
        <v>122</v>
      </c>
      <c r="C80" s="123" t="s">
        <v>109</v>
      </c>
      <c r="D80" s="124" t="s">
        <v>110</v>
      </c>
      <c r="E80" s="124" t="s">
        <v>111</v>
      </c>
      <c r="F80" s="124" t="s">
        <v>112</v>
      </c>
      <c r="G80" s="125" t="s">
        <v>113</v>
      </c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</row>
    <row r="81">
      <c r="A81" s="76"/>
      <c r="B81" s="126" t="s">
        <v>181</v>
      </c>
      <c r="C81" s="137" t="s">
        <v>182</v>
      </c>
      <c r="D81" s="128">
        <v>0.0</v>
      </c>
      <c r="E81" s="129" t="s">
        <v>125</v>
      </c>
      <c r="F81" s="130">
        <v>10.0</v>
      </c>
      <c r="G81" s="131">
        <f t="shared" ref="G81:G88" si="11">D81*F81</f>
        <v>0</v>
      </c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</row>
    <row r="82">
      <c r="A82" s="76"/>
      <c r="B82" s="95"/>
      <c r="C82" s="137" t="s">
        <v>183</v>
      </c>
      <c r="D82" s="128">
        <v>0.0</v>
      </c>
      <c r="E82" s="129" t="s">
        <v>125</v>
      </c>
      <c r="F82" s="130">
        <v>10.0</v>
      </c>
      <c r="G82" s="131">
        <f t="shared" si="11"/>
        <v>0</v>
      </c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</row>
    <row r="83">
      <c r="A83" s="76"/>
      <c r="B83" s="95"/>
      <c r="C83" s="137" t="s">
        <v>184</v>
      </c>
      <c r="D83" s="128">
        <v>0.0</v>
      </c>
      <c r="E83" s="129" t="s">
        <v>125</v>
      </c>
      <c r="F83" s="130">
        <v>10.0</v>
      </c>
      <c r="G83" s="131">
        <f t="shared" si="11"/>
        <v>0</v>
      </c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</row>
    <row r="84">
      <c r="A84" s="76"/>
      <c r="B84" s="95"/>
      <c r="C84" s="137" t="s">
        <v>185</v>
      </c>
      <c r="D84" s="128">
        <v>0.0</v>
      </c>
      <c r="E84" s="129" t="s">
        <v>125</v>
      </c>
      <c r="F84" s="130">
        <v>10.0</v>
      </c>
      <c r="G84" s="131">
        <f t="shared" si="11"/>
        <v>0</v>
      </c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</row>
    <row r="85">
      <c r="A85" s="76"/>
      <c r="B85" s="95"/>
      <c r="C85" s="137" t="s">
        <v>186</v>
      </c>
      <c r="D85" s="128">
        <v>0.0</v>
      </c>
      <c r="E85" s="129" t="s">
        <v>125</v>
      </c>
      <c r="F85" s="130">
        <v>10.0</v>
      </c>
      <c r="G85" s="131">
        <f t="shared" si="11"/>
        <v>0</v>
      </c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</row>
    <row r="86">
      <c r="A86" s="76"/>
      <c r="B86" s="95"/>
      <c r="C86" s="137" t="s">
        <v>187</v>
      </c>
      <c r="D86" s="128">
        <v>0.0</v>
      </c>
      <c r="E86" s="129" t="s">
        <v>130</v>
      </c>
      <c r="F86" s="130">
        <v>45.0</v>
      </c>
      <c r="G86" s="131">
        <f t="shared" si="11"/>
        <v>0</v>
      </c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</row>
    <row r="87">
      <c r="A87" s="76"/>
      <c r="B87" s="95"/>
      <c r="C87" s="137" t="s">
        <v>188</v>
      </c>
      <c r="D87" s="128">
        <v>0.0</v>
      </c>
      <c r="E87" s="129" t="s">
        <v>116</v>
      </c>
      <c r="F87" s="130">
        <v>5.0</v>
      </c>
      <c r="G87" s="131">
        <f t="shared" si="11"/>
        <v>0</v>
      </c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</row>
    <row r="88">
      <c r="A88" s="76"/>
      <c r="B88" s="95"/>
      <c r="C88" s="137" t="s">
        <v>189</v>
      </c>
      <c r="D88" s="128">
        <v>0.0</v>
      </c>
      <c r="E88" s="129" t="s">
        <v>125</v>
      </c>
      <c r="F88" s="130">
        <v>10.0</v>
      </c>
      <c r="G88" s="131">
        <f t="shared" si="11"/>
        <v>0</v>
      </c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</row>
    <row r="89">
      <c r="A89" s="76"/>
      <c r="B89" s="134"/>
      <c r="C89" s="135" t="s">
        <v>121</v>
      </c>
      <c r="G89" s="136">
        <f>SUM(G81:G88)</f>
        <v>0</v>
      </c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</row>
    <row r="90">
      <c r="A90" s="76"/>
      <c r="B90" s="122" t="s">
        <v>131</v>
      </c>
      <c r="C90" s="123" t="s">
        <v>109</v>
      </c>
      <c r="D90" s="124" t="s">
        <v>110</v>
      </c>
      <c r="E90" s="124" t="s">
        <v>111</v>
      </c>
      <c r="F90" s="124" t="s">
        <v>112</v>
      </c>
      <c r="G90" s="125" t="s">
        <v>113</v>
      </c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</row>
    <row r="91">
      <c r="A91" s="78"/>
      <c r="B91" s="126" t="s">
        <v>190</v>
      </c>
      <c r="C91" s="137" t="s">
        <v>191</v>
      </c>
      <c r="D91" s="128">
        <v>0.0</v>
      </c>
      <c r="E91" s="129" t="s">
        <v>125</v>
      </c>
      <c r="F91" s="130">
        <v>15.0</v>
      </c>
      <c r="G91" s="131">
        <f t="shared" ref="G91:G95" si="12">D91*F91</f>
        <v>0</v>
      </c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</row>
    <row r="92">
      <c r="A92" s="78"/>
      <c r="B92" s="95"/>
      <c r="C92" s="137" t="s">
        <v>192</v>
      </c>
      <c r="D92" s="128">
        <v>0.0</v>
      </c>
      <c r="E92" s="129" t="s">
        <v>125</v>
      </c>
      <c r="F92" s="130">
        <v>15.0</v>
      </c>
      <c r="G92" s="131">
        <f t="shared" si="12"/>
        <v>0</v>
      </c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</row>
    <row r="93">
      <c r="A93" s="78"/>
      <c r="B93" s="95"/>
      <c r="C93" s="137" t="s">
        <v>193</v>
      </c>
      <c r="D93" s="128">
        <v>0.0</v>
      </c>
      <c r="E93" s="129" t="s">
        <v>130</v>
      </c>
      <c r="F93" s="130">
        <v>200.0</v>
      </c>
      <c r="G93" s="131">
        <f t="shared" si="12"/>
        <v>0</v>
      </c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</row>
    <row r="94">
      <c r="A94" s="78"/>
      <c r="B94" s="95"/>
      <c r="C94" s="137" t="s">
        <v>194</v>
      </c>
      <c r="D94" s="128">
        <v>0.0</v>
      </c>
      <c r="E94" s="129" t="s">
        <v>125</v>
      </c>
      <c r="F94" s="130">
        <v>15.0</v>
      </c>
      <c r="G94" s="131">
        <f t="shared" si="12"/>
        <v>0</v>
      </c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</row>
    <row r="95">
      <c r="A95" s="78"/>
      <c r="B95" s="95"/>
      <c r="C95" s="137" t="s">
        <v>195</v>
      </c>
      <c r="D95" s="128">
        <v>0.0</v>
      </c>
      <c r="E95" s="129" t="s">
        <v>130</v>
      </c>
      <c r="F95" s="130">
        <v>100.0</v>
      </c>
      <c r="G95" s="131">
        <f t="shared" si="12"/>
        <v>0</v>
      </c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</row>
    <row r="96">
      <c r="A96" s="78"/>
      <c r="B96" s="138"/>
      <c r="C96" s="139" t="s">
        <v>121</v>
      </c>
      <c r="D96" s="103"/>
      <c r="E96" s="103"/>
      <c r="F96" s="103"/>
      <c r="G96" s="140">
        <f>SUM(G91:G95)</f>
        <v>0</v>
      </c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</row>
    <row r="97">
      <c r="A97" s="78"/>
      <c r="B97" s="141"/>
      <c r="C97" s="141"/>
      <c r="D97" s="141"/>
      <c r="E97" s="141"/>
      <c r="F97" s="141"/>
      <c r="G97" s="141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</row>
    <row r="98">
      <c r="A98" s="78"/>
      <c r="B98" s="142" t="s">
        <v>196</v>
      </c>
      <c r="C98" s="80"/>
      <c r="D98" s="120"/>
      <c r="E98" s="120"/>
      <c r="F98" s="120"/>
      <c r="G98" s="121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</row>
    <row r="99">
      <c r="A99" s="78"/>
      <c r="B99" s="122" t="s">
        <v>108</v>
      </c>
      <c r="C99" s="123" t="s">
        <v>109</v>
      </c>
      <c r="D99" s="124" t="s">
        <v>110</v>
      </c>
      <c r="E99" s="124" t="s">
        <v>111</v>
      </c>
      <c r="F99" s="124" t="s">
        <v>112</v>
      </c>
      <c r="G99" s="125" t="s">
        <v>113</v>
      </c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</row>
    <row r="100">
      <c r="A100" s="78"/>
      <c r="B100" s="126" t="s">
        <v>136</v>
      </c>
      <c r="C100" s="127" t="s">
        <v>197</v>
      </c>
      <c r="D100" s="143">
        <v>400.0</v>
      </c>
      <c r="E100" s="129" t="s">
        <v>116</v>
      </c>
      <c r="F100" s="130">
        <v>2.0</v>
      </c>
      <c r="G100" s="131">
        <f t="shared" ref="G100:G103" si="13">D100*F100</f>
        <v>800</v>
      </c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</row>
    <row r="101">
      <c r="A101" s="78"/>
      <c r="B101" s="95"/>
      <c r="C101" s="127" t="s">
        <v>198</v>
      </c>
      <c r="D101" s="143">
        <v>1.0</v>
      </c>
      <c r="E101" s="129" t="s">
        <v>130</v>
      </c>
      <c r="F101" s="130">
        <v>25.0</v>
      </c>
      <c r="G101" s="131">
        <f t="shared" si="13"/>
        <v>25</v>
      </c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</row>
    <row r="102">
      <c r="A102" s="78"/>
      <c r="B102" s="95"/>
      <c r="C102" s="127" t="s">
        <v>199</v>
      </c>
      <c r="D102" s="128">
        <v>0.0</v>
      </c>
      <c r="E102" s="129" t="s">
        <v>116</v>
      </c>
      <c r="F102" s="130">
        <v>1.0</v>
      </c>
      <c r="G102" s="131">
        <f t="shared" si="13"/>
        <v>0</v>
      </c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</row>
    <row r="103">
      <c r="A103" s="78"/>
      <c r="B103" s="95"/>
      <c r="C103" s="127" t="s">
        <v>200</v>
      </c>
      <c r="D103" s="128">
        <v>0.0</v>
      </c>
      <c r="E103" s="129" t="s">
        <v>130</v>
      </c>
      <c r="F103" s="130">
        <v>15.0</v>
      </c>
      <c r="G103" s="131">
        <f t="shared" si="13"/>
        <v>0</v>
      </c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</row>
    <row r="104">
      <c r="A104" s="78"/>
      <c r="B104" s="134"/>
      <c r="C104" s="135" t="s">
        <v>121</v>
      </c>
      <c r="G104" s="136">
        <f>SUM(G100:G103)</f>
        <v>825</v>
      </c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</row>
    <row r="105">
      <c r="A105" s="78"/>
      <c r="B105" s="122" t="s">
        <v>122</v>
      </c>
      <c r="C105" s="123" t="s">
        <v>109</v>
      </c>
      <c r="D105" s="124" t="s">
        <v>110</v>
      </c>
      <c r="E105" s="124" t="s">
        <v>111</v>
      </c>
      <c r="F105" s="124" t="s">
        <v>112</v>
      </c>
      <c r="G105" s="125" t="s">
        <v>113</v>
      </c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</row>
    <row r="106">
      <c r="A106" s="78"/>
      <c r="B106" s="126" t="s">
        <v>201</v>
      </c>
      <c r="C106" s="137" t="s">
        <v>202</v>
      </c>
      <c r="D106" s="128">
        <v>0.0</v>
      </c>
      <c r="E106" s="129" t="s">
        <v>125</v>
      </c>
      <c r="F106" s="130">
        <v>10.0</v>
      </c>
      <c r="G106" s="131">
        <f t="shared" ref="G106:G110" si="14">D106*F106</f>
        <v>0</v>
      </c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</row>
    <row r="107">
      <c r="A107" s="78"/>
      <c r="B107" s="95"/>
      <c r="C107" s="137" t="s">
        <v>203</v>
      </c>
      <c r="D107" s="128">
        <v>0.0</v>
      </c>
      <c r="E107" s="129" t="s">
        <v>125</v>
      </c>
      <c r="F107" s="130">
        <v>10.0</v>
      </c>
      <c r="G107" s="131">
        <f t="shared" si="14"/>
        <v>0</v>
      </c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</row>
    <row r="108">
      <c r="A108" s="78"/>
      <c r="B108" s="95"/>
      <c r="C108" s="137" t="s">
        <v>204</v>
      </c>
      <c r="D108" s="128">
        <v>0.0</v>
      </c>
      <c r="E108" s="129" t="s">
        <v>125</v>
      </c>
      <c r="F108" s="130">
        <v>10.0</v>
      </c>
      <c r="G108" s="131">
        <f t="shared" si="14"/>
        <v>0</v>
      </c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</row>
    <row r="109">
      <c r="A109" s="78"/>
      <c r="B109" s="95"/>
      <c r="C109" s="137" t="s">
        <v>205</v>
      </c>
      <c r="D109" s="128">
        <v>0.0</v>
      </c>
      <c r="E109" s="129" t="s">
        <v>116</v>
      </c>
      <c r="F109" s="130">
        <v>10.0</v>
      </c>
      <c r="G109" s="131">
        <f t="shared" si="14"/>
        <v>0</v>
      </c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</row>
    <row r="110">
      <c r="A110" s="78"/>
      <c r="B110" s="95"/>
      <c r="C110" s="137" t="s">
        <v>206</v>
      </c>
      <c r="D110" s="128">
        <v>0.0</v>
      </c>
      <c r="E110" s="129" t="s">
        <v>130</v>
      </c>
      <c r="F110" s="130">
        <v>45.0</v>
      </c>
      <c r="G110" s="131">
        <f t="shared" si="14"/>
        <v>0</v>
      </c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</row>
    <row r="111">
      <c r="A111" s="78"/>
      <c r="B111" s="134"/>
      <c r="C111" s="135" t="s">
        <v>121</v>
      </c>
      <c r="G111" s="136">
        <f>SUM(G106:G110)</f>
        <v>0</v>
      </c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</row>
    <row r="112">
      <c r="A112" s="78"/>
      <c r="B112" s="122" t="s">
        <v>131</v>
      </c>
      <c r="C112" s="123" t="s">
        <v>109</v>
      </c>
      <c r="D112" s="124" t="s">
        <v>110</v>
      </c>
      <c r="E112" s="124" t="s">
        <v>111</v>
      </c>
      <c r="F112" s="124" t="s">
        <v>112</v>
      </c>
      <c r="G112" s="125" t="s">
        <v>113</v>
      </c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</row>
    <row r="113">
      <c r="A113" s="78"/>
      <c r="B113" s="126" t="s">
        <v>207</v>
      </c>
      <c r="C113" s="137" t="s">
        <v>208</v>
      </c>
      <c r="D113" s="128">
        <v>0.0</v>
      </c>
      <c r="E113" s="129" t="s">
        <v>125</v>
      </c>
      <c r="F113" s="130">
        <v>15.0</v>
      </c>
      <c r="G113" s="131">
        <f t="shared" ref="G113:G117" si="15">D113*F113</f>
        <v>0</v>
      </c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</row>
    <row r="114">
      <c r="A114" s="78"/>
      <c r="B114" s="95"/>
      <c r="C114" s="137" t="s">
        <v>209</v>
      </c>
      <c r="D114" s="128">
        <v>0.0</v>
      </c>
      <c r="E114" s="129" t="s">
        <v>125</v>
      </c>
      <c r="F114" s="130">
        <v>15.0</v>
      </c>
      <c r="G114" s="131">
        <f t="shared" si="15"/>
        <v>0</v>
      </c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</row>
    <row r="115">
      <c r="A115" s="78"/>
      <c r="B115" s="95"/>
      <c r="C115" s="137" t="s">
        <v>210</v>
      </c>
      <c r="D115" s="128">
        <v>0.0</v>
      </c>
      <c r="E115" s="129" t="s">
        <v>125</v>
      </c>
      <c r="F115" s="130">
        <v>50.0</v>
      </c>
      <c r="G115" s="131">
        <f t="shared" si="15"/>
        <v>0</v>
      </c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</row>
    <row r="116">
      <c r="A116" s="78"/>
      <c r="B116" s="95"/>
      <c r="C116" s="137" t="s">
        <v>211</v>
      </c>
      <c r="D116" s="128">
        <v>0.0</v>
      </c>
      <c r="E116" s="129" t="s">
        <v>125</v>
      </c>
      <c r="F116" s="130">
        <v>50.0</v>
      </c>
      <c r="G116" s="131">
        <f t="shared" si="15"/>
        <v>0</v>
      </c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</row>
    <row r="117">
      <c r="A117" s="78"/>
      <c r="B117" s="95"/>
      <c r="C117" s="137" t="s">
        <v>212</v>
      </c>
      <c r="D117" s="128">
        <v>0.0</v>
      </c>
      <c r="E117" s="129" t="s">
        <v>130</v>
      </c>
      <c r="F117" s="130">
        <v>250.0</v>
      </c>
      <c r="G117" s="131">
        <f t="shared" si="15"/>
        <v>0</v>
      </c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</row>
    <row r="118">
      <c r="A118" s="78"/>
      <c r="B118" s="138"/>
      <c r="C118" s="139" t="s">
        <v>121</v>
      </c>
      <c r="D118" s="103"/>
      <c r="E118" s="103"/>
      <c r="F118" s="103"/>
      <c r="G118" s="140">
        <f>SUM(G113:G117)</f>
        <v>0</v>
      </c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</row>
    <row r="119">
      <c r="A119" s="78"/>
      <c r="B119" s="78"/>
      <c r="C119" s="78"/>
      <c r="D119" s="106"/>
      <c r="E119" s="107"/>
      <c r="F119" s="107"/>
      <c r="G119" s="107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</row>
    <row r="120">
      <c r="A120" s="78"/>
      <c r="B120" s="78"/>
      <c r="C120" s="78"/>
      <c r="D120" s="106"/>
      <c r="E120" s="107"/>
      <c r="F120" s="107"/>
      <c r="G120" s="107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</row>
    <row r="121">
      <c r="A121" s="78"/>
      <c r="B121" s="78"/>
      <c r="C121" s="78"/>
      <c r="D121" s="106"/>
      <c r="E121" s="107"/>
      <c r="F121" s="107"/>
      <c r="G121" s="107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</row>
    <row r="122">
      <c r="A122" s="78"/>
      <c r="B122" s="78"/>
      <c r="C122" s="78"/>
      <c r="D122" s="106"/>
      <c r="E122" s="107"/>
      <c r="F122" s="107"/>
      <c r="G122" s="107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</row>
    <row r="123">
      <c r="A123" s="78"/>
      <c r="B123" s="78"/>
      <c r="C123" s="78"/>
      <c r="D123" s="106"/>
      <c r="E123" s="107"/>
      <c r="F123" s="107"/>
      <c r="G123" s="107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</row>
    <row r="124">
      <c r="A124" s="78"/>
      <c r="B124" s="78"/>
      <c r="C124" s="78"/>
      <c r="D124" s="106"/>
      <c r="E124" s="107"/>
      <c r="F124" s="107"/>
      <c r="G124" s="107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</row>
    <row r="125">
      <c r="A125" s="78"/>
      <c r="B125" s="78"/>
      <c r="C125" s="78"/>
      <c r="D125" s="106"/>
      <c r="E125" s="107"/>
      <c r="F125" s="107"/>
      <c r="G125" s="107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</row>
    <row r="126">
      <c r="A126" s="78"/>
      <c r="B126" s="78"/>
      <c r="C126" s="78"/>
      <c r="D126" s="106"/>
      <c r="E126" s="107"/>
      <c r="F126" s="107"/>
      <c r="G126" s="107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</row>
    <row r="127">
      <c r="A127" s="78"/>
      <c r="B127" s="78"/>
      <c r="C127" s="78"/>
      <c r="D127" s="106"/>
      <c r="E127" s="107"/>
      <c r="F127" s="107"/>
      <c r="G127" s="107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</row>
    <row r="128">
      <c r="A128" s="78"/>
      <c r="B128" s="78"/>
      <c r="C128" s="78"/>
      <c r="D128" s="106"/>
      <c r="E128" s="107"/>
      <c r="F128" s="107"/>
      <c r="G128" s="107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</row>
    <row r="129">
      <c r="A129" s="78"/>
      <c r="B129" s="78"/>
      <c r="C129" s="78"/>
      <c r="D129" s="106"/>
      <c r="E129" s="107"/>
      <c r="F129" s="107"/>
      <c r="G129" s="107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</row>
    <row r="130">
      <c r="A130" s="78"/>
      <c r="B130" s="78"/>
      <c r="C130" s="78"/>
      <c r="D130" s="106"/>
      <c r="E130" s="107"/>
      <c r="F130" s="107"/>
      <c r="G130" s="107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</row>
    <row r="131">
      <c r="A131" s="78"/>
      <c r="B131" s="78"/>
      <c r="C131" s="78"/>
      <c r="D131" s="106"/>
      <c r="E131" s="107"/>
      <c r="F131" s="107"/>
      <c r="G131" s="107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</row>
    <row r="132">
      <c r="A132" s="78"/>
      <c r="B132" s="78"/>
      <c r="C132" s="78"/>
      <c r="D132" s="106"/>
      <c r="E132" s="107"/>
      <c r="F132" s="107"/>
      <c r="G132" s="107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</row>
    <row r="133">
      <c r="A133" s="78"/>
      <c r="B133" s="78"/>
      <c r="C133" s="78"/>
      <c r="D133" s="106"/>
      <c r="E133" s="107"/>
      <c r="F133" s="107"/>
      <c r="G133" s="107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</row>
    <row r="134">
      <c r="A134" s="78"/>
      <c r="B134" s="78"/>
      <c r="C134" s="78"/>
      <c r="D134" s="106"/>
      <c r="E134" s="107"/>
      <c r="F134" s="107"/>
      <c r="G134" s="107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</row>
    <row r="135">
      <c r="A135" s="78"/>
      <c r="B135" s="78"/>
      <c r="C135" s="78"/>
      <c r="D135" s="106"/>
      <c r="E135" s="107"/>
      <c r="F135" s="107"/>
      <c r="G135" s="107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</row>
    <row r="136">
      <c r="A136" s="78"/>
      <c r="B136" s="78"/>
      <c r="C136" s="78"/>
      <c r="D136" s="106"/>
      <c r="E136" s="107"/>
      <c r="F136" s="107"/>
      <c r="G136" s="107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</row>
    <row r="137">
      <c r="A137" s="78"/>
      <c r="B137" s="78"/>
      <c r="C137" s="78"/>
      <c r="D137" s="106"/>
      <c r="E137" s="107"/>
      <c r="F137" s="107"/>
      <c r="G137" s="107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</row>
    <row r="138">
      <c r="A138" s="78"/>
      <c r="B138" s="78"/>
      <c r="C138" s="78"/>
      <c r="D138" s="106"/>
      <c r="E138" s="107"/>
      <c r="F138" s="107"/>
      <c r="G138" s="107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</row>
    <row r="139">
      <c r="A139" s="78"/>
      <c r="B139" s="78"/>
      <c r="C139" s="78"/>
      <c r="D139" s="106"/>
      <c r="E139" s="107"/>
      <c r="F139" s="107"/>
      <c r="G139" s="107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</row>
    <row r="140">
      <c r="A140" s="78"/>
      <c r="B140" s="78"/>
      <c r="C140" s="78"/>
      <c r="D140" s="106"/>
      <c r="E140" s="107"/>
      <c r="F140" s="107"/>
      <c r="G140" s="107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</row>
    <row r="141">
      <c r="A141" s="78"/>
      <c r="B141" s="78"/>
      <c r="C141" s="78"/>
      <c r="D141" s="106"/>
      <c r="E141" s="107"/>
      <c r="F141" s="107"/>
      <c r="G141" s="107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</row>
    <row r="142">
      <c r="A142" s="78"/>
      <c r="B142" s="78"/>
      <c r="C142" s="78"/>
      <c r="D142" s="106"/>
      <c r="E142" s="107"/>
      <c r="F142" s="107"/>
      <c r="G142" s="107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</row>
    <row r="143">
      <c r="A143" s="78"/>
      <c r="B143" s="78"/>
      <c r="C143" s="78"/>
      <c r="D143" s="106"/>
      <c r="E143" s="107"/>
      <c r="F143" s="107"/>
      <c r="G143" s="107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</row>
    <row r="144">
      <c r="A144" s="78"/>
      <c r="B144" s="78"/>
      <c r="C144" s="78"/>
      <c r="D144" s="106"/>
      <c r="E144" s="107"/>
      <c r="F144" s="107"/>
      <c r="G144" s="107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</row>
    <row r="145">
      <c r="A145" s="78"/>
      <c r="B145" s="78"/>
      <c r="C145" s="78"/>
      <c r="D145" s="106"/>
      <c r="E145" s="107"/>
      <c r="F145" s="107"/>
      <c r="G145" s="107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</row>
    <row r="146">
      <c r="A146" s="78"/>
      <c r="B146" s="78"/>
      <c r="C146" s="78"/>
      <c r="D146" s="106"/>
      <c r="E146" s="107"/>
      <c r="F146" s="107"/>
      <c r="G146" s="107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</row>
    <row r="147">
      <c r="A147" s="78"/>
      <c r="B147" s="78"/>
      <c r="C147" s="78"/>
      <c r="D147" s="106"/>
      <c r="E147" s="107"/>
      <c r="F147" s="107"/>
      <c r="G147" s="107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</row>
    <row r="148">
      <c r="A148" s="78"/>
      <c r="B148" s="78"/>
      <c r="C148" s="78"/>
      <c r="D148" s="106"/>
      <c r="E148" s="107"/>
      <c r="F148" s="107"/>
      <c r="G148" s="107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</row>
    <row r="149">
      <c r="A149" s="78"/>
      <c r="B149" s="78"/>
      <c r="C149" s="78"/>
      <c r="D149" s="106"/>
      <c r="E149" s="107"/>
      <c r="F149" s="107"/>
      <c r="G149" s="107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</row>
    <row r="150">
      <c r="A150" s="78"/>
      <c r="B150" s="78"/>
      <c r="C150" s="78"/>
      <c r="D150" s="106"/>
      <c r="E150" s="107"/>
      <c r="F150" s="107"/>
      <c r="G150" s="107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</row>
    <row r="151">
      <c r="A151" s="78"/>
      <c r="B151" s="78"/>
      <c r="C151" s="78"/>
      <c r="D151" s="106"/>
      <c r="E151" s="107"/>
      <c r="F151" s="107"/>
      <c r="G151" s="107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</row>
    <row r="152">
      <c r="A152" s="78"/>
      <c r="B152" s="78"/>
      <c r="C152" s="78"/>
      <c r="D152" s="106"/>
      <c r="E152" s="107"/>
      <c r="F152" s="107"/>
      <c r="G152" s="107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</row>
    <row r="153">
      <c r="A153" s="78"/>
      <c r="B153" s="78"/>
      <c r="C153" s="78"/>
      <c r="D153" s="106"/>
      <c r="E153" s="107"/>
      <c r="F153" s="107"/>
      <c r="G153" s="107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</row>
    <row r="154">
      <c r="A154" s="78"/>
      <c r="B154" s="78"/>
      <c r="C154" s="78"/>
      <c r="D154" s="106"/>
      <c r="E154" s="107"/>
      <c r="F154" s="107"/>
      <c r="G154" s="107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</row>
    <row r="155">
      <c r="A155" s="78"/>
      <c r="B155" s="78"/>
      <c r="C155" s="78"/>
      <c r="D155" s="106"/>
      <c r="E155" s="107"/>
      <c r="F155" s="107"/>
      <c r="G155" s="107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</row>
    <row r="156">
      <c r="A156" s="78"/>
      <c r="B156" s="78"/>
      <c r="C156" s="78"/>
      <c r="D156" s="106"/>
      <c r="E156" s="107"/>
      <c r="F156" s="107"/>
      <c r="G156" s="107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</row>
    <row r="157">
      <c r="A157" s="78"/>
      <c r="B157" s="78"/>
      <c r="C157" s="78"/>
      <c r="D157" s="106"/>
      <c r="E157" s="107"/>
      <c r="F157" s="107"/>
      <c r="G157" s="107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</row>
    <row r="158">
      <c r="A158" s="78"/>
      <c r="B158" s="78"/>
      <c r="C158" s="78"/>
      <c r="D158" s="106"/>
      <c r="E158" s="107"/>
      <c r="F158" s="107"/>
      <c r="G158" s="107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</row>
    <row r="159">
      <c r="A159" s="78"/>
      <c r="B159" s="78"/>
      <c r="C159" s="78"/>
      <c r="D159" s="106"/>
      <c r="E159" s="107"/>
      <c r="F159" s="107"/>
      <c r="G159" s="107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</row>
    <row r="160">
      <c r="A160" s="78"/>
      <c r="B160" s="78"/>
      <c r="C160" s="78"/>
      <c r="D160" s="106"/>
      <c r="E160" s="107"/>
      <c r="F160" s="107"/>
      <c r="G160" s="107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</row>
    <row r="161">
      <c r="A161" s="78"/>
      <c r="B161" s="78"/>
      <c r="C161" s="78"/>
      <c r="D161" s="106"/>
      <c r="E161" s="107"/>
      <c r="F161" s="107"/>
      <c r="G161" s="107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</row>
    <row r="162">
      <c r="A162" s="78"/>
      <c r="B162" s="78"/>
      <c r="C162" s="78"/>
      <c r="D162" s="106"/>
      <c r="E162" s="107"/>
      <c r="F162" s="107"/>
      <c r="G162" s="107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</row>
    <row r="163">
      <c r="A163" s="78"/>
      <c r="B163" s="78"/>
      <c r="C163" s="78"/>
      <c r="D163" s="106"/>
      <c r="E163" s="107"/>
      <c r="F163" s="107"/>
      <c r="G163" s="107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</row>
    <row r="164">
      <c r="A164" s="78"/>
      <c r="B164" s="78"/>
      <c r="C164" s="78"/>
      <c r="D164" s="106"/>
      <c r="E164" s="107"/>
      <c r="F164" s="107"/>
      <c r="G164" s="107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</row>
    <row r="165">
      <c r="A165" s="78"/>
      <c r="B165" s="78"/>
      <c r="C165" s="78"/>
      <c r="D165" s="106"/>
      <c r="E165" s="107"/>
      <c r="F165" s="107"/>
      <c r="G165" s="107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</row>
    <row r="166">
      <c r="A166" s="78"/>
      <c r="B166" s="78"/>
      <c r="C166" s="78"/>
      <c r="D166" s="106"/>
      <c r="E166" s="107"/>
      <c r="F166" s="107"/>
      <c r="G166" s="107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</row>
    <row r="167">
      <c r="A167" s="78"/>
      <c r="B167" s="78"/>
      <c r="C167" s="78"/>
      <c r="D167" s="106"/>
      <c r="E167" s="107"/>
      <c r="F167" s="107"/>
      <c r="G167" s="107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</row>
    <row r="168">
      <c r="A168" s="78"/>
      <c r="B168" s="78"/>
      <c r="C168" s="78"/>
      <c r="D168" s="106"/>
      <c r="E168" s="107"/>
      <c r="F168" s="107"/>
      <c r="G168" s="107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</row>
    <row r="169">
      <c r="A169" s="78"/>
      <c r="B169" s="78"/>
      <c r="C169" s="78"/>
      <c r="D169" s="106"/>
      <c r="E169" s="107"/>
      <c r="F169" s="107"/>
      <c r="G169" s="107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</row>
    <row r="170">
      <c r="A170" s="78"/>
      <c r="B170" s="78"/>
      <c r="C170" s="78"/>
      <c r="D170" s="106"/>
      <c r="E170" s="107"/>
      <c r="F170" s="107"/>
      <c r="G170" s="107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</row>
    <row r="171">
      <c r="A171" s="78"/>
      <c r="B171" s="78"/>
      <c r="C171" s="78"/>
      <c r="D171" s="106"/>
      <c r="E171" s="107"/>
      <c r="F171" s="107"/>
      <c r="G171" s="107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</row>
    <row r="172">
      <c r="A172" s="78"/>
      <c r="B172" s="78"/>
      <c r="C172" s="78"/>
      <c r="D172" s="106"/>
      <c r="E172" s="107"/>
      <c r="F172" s="107"/>
      <c r="G172" s="107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</row>
    <row r="173">
      <c r="A173" s="78"/>
      <c r="B173" s="78"/>
      <c r="C173" s="78"/>
      <c r="D173" s="106"/>
      <c r="E173" s="107"/>
      <c r="F173" s="107"/>
      <c r="G173" s="107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</row>
    <row r="174">
      <c r="A174" s="78"/>
      <c r="B174" s="78"/>
      <c r="C174" s="78"/>
      <c r="D174" s="106"/>
      <c r="E174" s="107"/>
      <c r="F174" s="107"/>
      <c r="G174" s="107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</row>
    <row r="175">
      <c r="A175" s="78"/>
      <c r="B175" s="78"/>
      <c r="C175" s="78"/>
      <c r="D175" s="106"/>
      <c r="E175" s="107"/>
      <c r="F175" s="107"/>
      <c r="G175" s="107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</row>
    <row r="176">
      <c r="A176" s="78"/>
      <c r="B176" s="78"/>
      <c r="C176" s="78"/>
      <c r="D176" s="106"/>
      <c r="E176" s="107"/>
      <c r="F176" s="107"/>
      <c r="G176" s="107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</row>
    <row r="177">
      <c r="A177" s="78"/>
      <c r="B177" s="78"/>
      <c r="C177" s="78"/>
      <c r="D177" s="106"/>
      <c r="E177" s="107"/>
      <c r="F177" s="107"/>
      <c r="G177" s="107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</row>
    <row r="178">
      <c r="A178" s="78"/>
      <c r="B178" s="78"/>
      <c r="C178" s="78"/>
      <c r="D178" s="106"/>
      <c r="E178" s="107"/>
      <c r="F178" s="107"/>
      <c r="G178" s="107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</row>
    <row r="179">
      <c r="A179" s="78"/>
      <c r="B179" s="78"/>
      <c r="C179" s="78"/>
      <c r="D179" s="106"/>
      <c r="E179" s="107"/>
      <c r="F179" s="107"/>
      <c r="G179" s="107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</row>
    <row r="180">
      <c r="A180" s="78"/>
      <c r="B180" s="78"/>
      <c r="C180" s="78"/>
      <c r="D180" s="106"/>
      <c r="E180" s="107"/>
      <c r="F180" s="107"/>
      <c r="G180" s="107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</row>
    <row r="181">
      <c r="A181" s="78"/>
      <c r="B181" s="78"/>
      <c r="C181" s="78"/>
      <c r="D181" s="106"/>
      <c r="E181" s="107"/>
      <c r="F181" s="107"/>
      <c r="G181" s="107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</row>
    <row r="182">
      <c r="A182" s="78"/>
      <c r="B182" s="78"/>
      <c r="C182" s="78"/>
      <c r="D182" s="106"/>
      <c r="E182" s="107"/>
      <c r="F182" s="107"/>
      <c r="G182" s="107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</row>
    <row r="183">
      <c r="A183" s="78"/>
      <c r="B183" s="78"/>
      <c r="C183" s="78"/>
      <c r="D183" s="106"/>
      <c r="E183" s="107"/>
      <c r="F183" s="107"/>
      <c r="G183" s="107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</row>
    <row r="184">
      <c r="A184" s="78"/>
      <c r="B184" s="78"/>
      <c r="C184" s="78"/>
      <c r="D184" s="106"/>
      <c r="E184" s="107"/>
      <c r="F184" s="107"/>
      <c r="G184" s="107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</row>
    <row r="185">
      <c r="A185" s="78"/>
      <c r="B185" s="78"/>
      <c r="C185" s="78"/>
      <c r="D185" s="106"/>
      <c r="E185" s="107"/>
      <c r="F185" s="107"/>
      <c r="G185" s="107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</row>
    <row r="186">
      <c r="A186" s="78"/>
      <c r="B186" s="78"/>
      <c r="C186" s="78"/>
      <c r="D186" s="106"/>
      <c r="E186" s="107"/>
      <c r="F186" s="107"/>
      <c r="G186" s="107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</row>
    <row r="187">
      <c r="A187" s="78"/>
      <c r="B187" s="78"/>
      <c r="C187" s="78"/>
      <c r="D187" s="106"/>
      <c r="E187" s="107"/>
      <c r="F187" s="107"/>
      <c r="G187" s="107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</row>
    <row r="188">
      <c r="A188" s="78"/>
      <c r="B188" s="78"/>
      <c r="C188" s="78"/>
      <c r="D188" s="106"/>
      <c r="E188" s="107"/>
      <c r="F188" s="107"/>
      <c r="G188" s="107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</row>
    <row r="189">
      <c r="A189" s="78"/>
      <c r="B189" s="78"/>
      <c r="C189" s="78"/>
      <c r="D189" s="106"/>
      <c r="E189" s="107"/>
      <c r="F189" s="107"/>
      <c r="G189" s="107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</row>
    <row r="190">
      <c r="A190" s="78"/>
      <c r="B190" s="78"/>
      <c r="C190" s="78"/>
      <c r="D190" s="106"/>
      <c r="E190" s="107"/>
      <c r="F190" s="107"/>
      <c r="G190" s="107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</row>
    <row r="191">
      <c r="A191" s="78"/>
      <c r="B191" s="78"/>
      <c r="C191" s="78"/>
      <c r="D191" s="106"/>
      <c r="E191" s="107"/>
      <c r="F191" s="107"/>
      <c r="G191" s="107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</row>
    <row r="192">
      <c r="A192" s="78"/>
      <c r="B192" s="78"/>
      <c r="C192" s="78"/>
      <c r="D192" s="106"/>
      <c r="E192" s="107"/>
      <c r="F192" s="107"/>
      <c r="G192" s="107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</row>
    <row r="193">
      <c r="A193" s="78"/>
      <c r="B193" s="78"/>
      <c r="C193" s="78"/>
      <c r="D193" s="106"/>
      <c r="E193" s="107"/>
      <c r="F193" s="107"/>
      <c r="G193" s="107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</row>
    <row r="194">
      <c r="A194" s="78"/>
      <c r="B194" s="78"/>
      <c r="C194" s="78"/>
      <c r="D194" s="106"/>
      <c r="E194" s="107"/>
      <c r="F194" s="107"/>
      <c r="G194" s="107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</row>
    <row r="195">
      <c r="A195" s="78"/>
      <c r="B195" s="78"/>
      <c r="C195" s="78"/>
      <c r="D195" s="106"/>
      <c r="E195" s="107"/>
      <c r="F195" s="107"/>
      <c r="G195" s="107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</row>
    <row r="196">
      <c r="A196" s="78"/>
      <c r="B196" s="78"/>
      <c r="C196" s="78"/>
      <c r="D196" s="106"/>
      <c r="E196" s="107"/>
      <c r="F196" s="107"/>
      <c r="G196" s="107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</row>
    <row r="197">
      <c r="A197" s="78"/>
      <c r="B197" s="78"/>
      <c r="C197" s="78"/>
      <c r="D197" s="106"/>
      <c r="E197" s="107"/>
      <c r="F197" s="107"/>
      <c r="G197" s="107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</row>
    <row r="198">
      <c r="A198" s="78"/>
      <c r="B198" s="78"/>
      <c r="C198" s="78"/>
      <c r="D198" s="106"/>
      <c r="E198" s="107"/>
      <c r="F198" s="107"/>
      <c r="G198" s="107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</row>
    <row r="199">
      <c r="A199" s="78"/>
      <c r="B199" s="78"/>
      <c r="C199" s="78"/>
      <c r="D199" s="106"/>
      <c r="E199" s="107"/>
      <c r="F199" s="107"/>
      <c r="G199" s="107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</row>
    <row r="200">
      <c r="A200" s="78"/>
      <c r="B200" s="78"/>
      <c r="C200" s="78"/>
      <c r="D200" s="106"/>
      <c r="E200" s="107"/>
      <c r="F200" s="107"/>
      <c r="G200" s="107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</row>
    <row r="201">
      <c r="A201" s="78"/>
      <c r="B201" s="78"/>
      <c r="C201" s="78"/>
      <c r="D201" s="106"/>
      <c r="E201" s="107"/>
      <c r="F201" s="107"/>
      <c r="G201" s="107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</row>
    <row r="202">
      <c r="A202" s="78"/>
      <c r="B202" s="78"/>
      <c r="C202" s="78"/>
      <c r="D202" s="106"/>
      <c r="E202" s="107"/>
      <c r="F202" s="107"/>
      <c r="G202" s="107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</row>
    <row r="203">
      <c r="A203" s="78"/>
      <c r="B203" s="78"/>
      <c r="C203" s="78"/>
      <c r="D203" s="106"/>
      <c r="E203" s="107"/>
      <c r="F203" s="107"/>
      <c r="G203" s="107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</row>
    <row r="204">
      <c r="A204" s="78"/>
      <c r="B204" s="78"/>
      <c r="C204" s="78"/>
      <c r="D204" s="106"/>
      <c r="E204" s="107"/>
      <c r="F204" s="107"/>
      <c r="G204" s="107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</row>
    <row r="205">
      <c r="A205" s="78"/>
      <c r="B205" s="78"/>
      <c r="C205" s="78"/>
      <c r="D205" s="106"/>
      <c r="E205" s="107"/>
      <c r="F205" s="107"/>
      <c r="G205" s="107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</row>
    <row r="206">
      <c r="A206" s="78"/>
      <c r="B206" s="78"/>
      <c r="C206" s="78"/>
      <c r="D206" s="106"/>
      <c r="E206" s="107"/>
      <c r="F206" s="107"/>
      <c r="G206" s="107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</row>
    <row r="207">
      <c r="A207" s="78"/>
      <c r="B207" s="78"/>
      <c r="C207" s="78"/>
      <c r="D207" s="106"/>
      <c r="E207" s="107"/>
      <c r="F207" s="107"/>
      <c r="G207" s="107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</row>
    <row r="208">
      <c r="A208" s="78"/>
      <c r="B208" s="78"/>
      <c r="C208" s="78"/>
      <c r="D208" s="106"/>
      <c r="E208" s="107"/>
      <c r="F208" s="107"/>
      <c r="G208" s="107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</row>
    <row r="209">
      <c r="A209" s="78"/>
      <c r="B209" s="78"/>
      <c r="C209" s="78"/>
      <c r="D209" s="106"/>
      <c r="E209" s="107"/>
      <c r="F209" s="107"/>
      <c r="G209" s="107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</row>
    <row r="210">
      <c r="A210" s="78"/>
      <c r="B210" s="78"/>
      <c r="C210" s="78"/>
      <c r="D210" s="106"/>
      <c r="E210" s="107"/>
      <c r="F210" s="107"/>
      <c r="G210" s="107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</row>
    <row r="211">
      <c r="A211" s="78"/>
      <c r="B211" s="78"/>
      <c r="C211" s="78"/>
      <c r="D211" s="106"/>
      <c r="E211" s="107"/>
      <c r="F211" s="107"/>
      <c r="G211" s="107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</row>
    <row r="212">
      <c r="A212" s="78"/>
      <c r="B212" s="78"/>
      <c r="C212" s="78"/>
      <c r="D212" s="106"/>
      <c r="E212" s="107"/>
      <c r="F212" s="107"/>
      <c r="G212" s="107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</row>
    <row r="213">
      <c r="A213" s="78"/>
      <c r="B213" s="78"/>
      <c r="C213" s="78"/>
      <c r="D213" s="106"/>
      <c r="E213" s="107"/>
      <c r="F213" s="107"/>
      <c r="G213" s="107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</row>
    <row r="214">
      <c r="A214" s="78"/>
      <c r="B214" s="78"/>
      <c r="C214" s="78"/>
      <c r="D214" s="106"/>
      <c r="E214" s="107"/>
      <c r="F214" s="107"/>
      <c r="G214" s="107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</row>
    <row r="215">
      <c r="A215" s="78"/>
      <c r="B215" s="78"/>
      <c r="C215" s="78"/>
      <c r="D215" s="106"/>
      <c r="E215" s="107"/>
      <c r="F215" s="107"/>
      <c r="G215" s="107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</row>
    <row r="216">
      <c r="A216" s="78"/>
      <c r="B216" s="78"/>
      <c r="C216" s="78"/>
      <c r="D216" s="106"/>
      <c r="E216" s="107"/>
      <c r="F216" s="107"/>
      <c r="G216" s="107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</row>
    <row r="217">
      <c r="A217" s="78"/>
      <c r="B217" s="78"/>
      <c r="C217" s="78"/>
      <c r="D217" s="106"/>
      <c r="E217" s="107"/>
      <c r="F217" s="107"/>
      <c r="G217" s="107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</row>
    <row r="218">
      <c r="A218" s="78"/>
      <c r="B218" s="78"/>
      <c r="C218" s="78"/>
      <c r="D218" s="106"/>
      <c r="E218" s="107"/>
      <c r="F218" s="107"/>
      <c r="G218" s="107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</row>
    <row r="219">
      <c r="A219" s="78"/>
      <c r="B219" s="78"/>
      <c r="C219" s="78"/>
      <c r="D219" s="106"/>
      <c r="E219" s="107"/>
      <c r="F219" s="107"/>
      <c r="G219" s="107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</row>
    <row r="220">
      <c r="A220" s="78"/>
      <c r="B220" s="78"/>
      <c r="C220" s="78"/>
      <c r="D220" s="106"/>
      <c r="E220" s="107"/>
      <c r="F220" s="107"/>
      <c r="G220" s="107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</row>
    <row r="221">
      <c r="A221" s="78"/>
      <c r="B221" s="78"/>
      <c r="C221" s="78"/>
      <c r="D221" s="106"/>
      <c r="E221" s="107"/>
      <c r="F221" s="107"/>
      <c r="G221" s="107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</row>
    <row r="222">
      <c r="A222" s="78"/>
      <c r="B222" s="78"/>
      <c r="C222" s="78"/>
      <c r="D222" s="106"/>
      <c r="E222" s="107"/>
      <c r="F222" s="107"/>
      <c r="G222" s="107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</row>
    <row r="223">
      <c r="A223" s="78"/>
      <c r="B223" s="78"/>
      <c r="C223" s="78"/>
      <c r="D223" s="106"/>
      <c r="E223" s="107"/>
      <c r="F223" s="107"/>
      <c r="G223" s="107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</row>
    <row r="224">
      <c r="A224" s="78"/>
      <c r="B224" s="78"/>
      <c r="C224" s="78"/>
      <c r="D224" s="106"/>
      <c r="E224" s="107"/>
      <c r="F224" s="107"/>
      <c r="G224" s="107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</row>
    <row r="225">
      <c r="A225" s="78"/>
      <c r="B225" s="78"/>
      <c r="C225" s="78"/>
      <c r="D225" s="106"/>
      <c r="E225" s="107"/>
      <c r="F225" s="107"/>
      <c r="G225" s="107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</row>
    <row r="226">
      <c r="A226" s="78"/>
      <c r="B226" s="78"/>
      <c r="C226" s="78"/>
      <c r="D226" s="106"/>
      <c r="E226" s="107"/>
      <c r="F226" s="107"/>
      <c r="G226" s="107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</row>
    <row r="227">
      <c r="A227" s="78"/>
      <c r="B227" s="78"/>
      <c r="C227" s="78"/>
      <c r="D227" s="106"/>
      <c r="E227" s="107"/>
      <c r="F227" s="107"/>
      <c r="G227" s="107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</row>
    <row r="228">
      <c r="A228" s="78"/>
      <c r="B228" s="78"/>
      <c r="C228" s="78"/>
      <c r="D228" s="106"/>
      <c r="E228" s="107"/>
      <c r="F228" s="107"/>
      <c r="G228" s="107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</row>
    <row r="229">
      <c r="A229" s="78"/>
      <c r="B229" s="78"/>
      <c r="C229" s="78"/>
      <c r="D229" s="106"/>
      <c r="E229" s="107"/>
      <c r="F229" s="107"/>
      <c r="G229" s="107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</row>
    <row r="230">
      <c r="A230" s="78"/>
      <c r="B230" s="78"/>
      <c r="C230" s="78"/>
      <c r="D230" s="106"/>
      <c r="E230" s="107"/>
      <c r="F230" s="107"/>
      <c r="G230" s="107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</row>
    <row r="231">
      <c r="A231" s="78"/>
      <c r="B231" s="78"/>
      <c r="C231" s="78"/>
      <c r="D231" s="106"/>
      <c r="E231" s="107"/>
      <c r="F231" s="107"/>
      <c r="G231" s="107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</row>
    <row r="232">
      <c r="A232" s="78"/>
      <c r="B232" s="78"/>
      <c r="C232" s="78"/>
      <c r="D232" s="106"/>
      <c r="E232" s="107"/>
      <c r="F232" s="107"/>
      <c r="G232" s="107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</row>
    <row r="233">
      <c r="A233" s="78"/>
      <c r="B233" s="78"/>
      <c r="C233" s="78"/>
      <c r="D233" s="106"/>
      <c r="E233" s="107"/>
      <c r="F233" s="107"/>
      <c r="G233" s="107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</row>
    <row r="234">
      <c r="A234" s="78"/>
      <c r="B234" s="78"/>
      <c r="C234" s="78"/>
      <c r="D234" s="106"/>
      <c r="E234" s="107"/>
      <c r="F234" s="107"/>
      <c r="G234" s="107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</row>
    <row r="235">
      <c r="A235" s="78"/>
      <c r="B235" s="78"/>
      <c r="C235" s="78"/>
      <c r="D235" s="106"/>
      <c r="E235" s="107"/>
      <c r="F235" s="107"/>
      <c r="G235" s="107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</row>
    <row r="236">
      <c r="A236" s="78"/>
      <c r="B236" s="78"/>
      <c r="C236" s="78"/>
      <c r="D236" s="106"/>
      <c r="E236" s="107"/>
      <c r="F236" s="107"/>
      <c r="G236" s="107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</row>
    <row r="237">
      <c r="A237" s="78"/>
      <c r="B237" s="78"/>
      <c r="C237" s="78"/>
      <c r="D237" s="106"/>
      <c r="E237" s="107"/>
      <c r="F237" s="107"/>
      <c r="G237" s="107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</row>
    <row r="238">
      <c r="A238" s="78"/>
      <c r="B238" s="78"/>
      <c r="C238" s="78"/>
      <c r="D238" s="106"/>
      <c r="E238" s="107"/>
      <c r="F238" s="107"/>
      <c r="G238" s="107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</row>
    <row r="239">
      <c r="A239" s="78"/>
      <c r="B239" s="78"/>
      <c r="C239" s="78"/>
      <c r="D239" s="106"/>
      <c r="E239" s="107"/>
      <c r="F239" s="107"/>
      <c r="G239" s="107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</row>
    <row r="240">
      <c r="A240" s="78"/>
      <c r="B240" s="78"/>
      <c r="C240" s="78"/>
      <c r="D240" s="106"/>
      <c r="E240" s="107"/>
      <c r="F240" s="107"/>
      <c r="G240" s="107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</row>
    <row r="241">
      <c r="A241" s="78"/>
      <c r="B241" s="78"/>
      <c r="C241" s="78"/>
      <c r="D241" s="106"/>
      <c r="E241" s="107"/>
      <c r="F241" s="107"/>
      <c r="G241" s="107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</row>
    <row r="242">
      <c r="A242" s="78"/>
      <c r="B242" s="78"/>
      <c r="C242" s="78"/>
      <c r="D242" s="106"/>
      <c r="E242" s="107"/>
      <c r="F242" s="107"/>
      <c r="G242" s="107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</row>
    <row r="243">
      <c r="A243" s="78"/>
      <c r="B243" s="78"/>
      <c r="C243" s="78"/>
      <c r="D243" s="106"/>
      <c r="E243" s="107"/>
      <c r="F243" s="107"/>
      <c r="G243" s="107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</row>
    <row r="244">
      <c r="A244" s="78"/>
      <c r="B244" s="78"/>
      <c r="C244" s="78"/>
      <c r="D244" s="106"/>
      <c r="E244" s="107"/>
      <c r="F244" s="107"/>
      <c r="G244" s="107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</row>
    <row r="245">
      <c r="A245" s="78"/>
      <c r="B245" s="78"/>
      <c r="C245" s="78"/>
      <c r="D245" s="106"/>
      <c r="E245" s="107"/>
      <c r="F245" s="107"/>
      <c r="G245" s="107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</row>
    <row r="246">
      <c r="A246" s="78"/>
      <c r="B246" s="78"/>
      <c r="C246" s="78"/>
      <c r="D246" s="106"/>
      <c r="E246" s="107"/>
      <c r="F246" s="107"/>
      <c r="G246" s="107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</row>
    <row r="247">
      <c r="A247" s="78"/>
      <c r="B247" s="78"/>
      <c r="C247" s="78"/>
      <c r="D247" s="106"/>
      <c r="E247" s="107"/>
      <c r="F247" s="107"/>
      <c r="G247" s="107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</row>
    <row r="248">
      <c r="A248" s="78"/>
      <c r="B248" s="78"/>
      <c r="C248" s="78"/>
      <c r="D248" s="106"/>
      <c r="E248" s="107"/>
      <c r="F248" s="107"/>
      <c r="G248" s="107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</row>
    <row r="249">
      <c r="A249" s="78"/>
      <c r="B249" s="78"/>
      <c r="C249" s="78"/>
      <c r="D249" s="106"/>
      <c r="E249" s="107"/>
      <c r="F249" s="107"/>
      <c r="G249" s="107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</row>
    <row r="250">
      <c r="A250" s="78"/>
      <c r="B250" s="78"/>
      <c r="C250" s="78"/>
      <c r="D250" s="106"/>
      <c r="E250" s="107"/>
      <c r="F250" s="107"/>
      <c r="G250" s="107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</row>
    <row r="251">
      <c r="A251" s="78"/>
      <c r="B251" s="78"/>
      <c r="C251" s="78"/>
      <c r="D251" s="106"/>
      <c r="E251" s="107"/>
      <c r="F251" s="107"/>
      <c r="G251" s="107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</row>
    <row r="252">
      <c r="A252" s="78"/>
      <c r="B252" s="78"/>
      <c r="C252" s="78"/>
      <c r="D252" s="106"/>
      <c r="E252" s="107"/>
      <c r="F252" s="107"/>
      <c r="G252" s="107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</row>
    <row r="253">
      <c r="A253" s="78"/>
      <c r="B253" s="78"/>
      <c r="C253" s="78"/>
      <c r="D253" s="106"/>
      <c r="E253" s="107"/>
      <c r="F253" s="107"/>
      <c r="G253" s="107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</row>
    <row r="254">
      <c r="A254" s="78"/>
      <c r="B254" s="78"/>
      <c r="C254" s="78"/>
      <c r="D254" s="106"/>
      <c r="E254" s="107"/>
      <c r="F254" s="107"/>
      <c r="G254" s="107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</row>
    <row r="255">
      <c r="A255" s="78"/>
      <c r="B255" s="78"/>
      <c r="C255" s="78"/>
      <c r="D255" s="106"/>
      <c r="E255" s="107"/>
      <c r="F255" s="107"/>
      <c r="G255" s="107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</row>
    <row r="256">
      <c r="A256" s="78"/>
      <c r="B256" s="78"/>
      <c r="C256" s="78"/>
      <c r="D256" s="106"/>
      <c r="E256" s="107"/>
      <c r="F256" s="107"/>
      <c r="G256" s="107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</row>
    <row r="257">
      <c r="A257" s="78"/>
      <c r="B257" s="78"/>
      <c r="C257" s="78"/>
      <c r="D257" s="106"/>
      <c r="E257" s="107"/>
      <c r="F257" s="107"/>
      <c r="G257" s="107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</row>
    <row r="258">
      <c r="A258" s="78"/>
      <c r="B258" s="78"/>
      <c r="C258" s="78"/>
      <c r="D258" s="106"/>
      <c r="E258" s="107"/>
      <c r="F258" s="107"/>
      <c r="G258" s="107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</row>
    <row r="259">
      <c r="A259" s="78"/>
      <c r="B259" s="78"/>
      <c r="C259" s="78"/>
      <c r="D259" s="106"/>
      <c r="E259" s="107"/>
      <c r="F259" s="107"/>
      <c r="G259" s="107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</row>
    <row r="260">
      <c r="A260" s="78"/>
      <c r="B260" s="78"/>
      <c r="C260" s="78"/>
      <c r="D260" s="106"/>
      <c r="E260" s="107"/>
      <c r="F260" s="107"/>
      <c r="G260" s="107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</row>
    <row r="261">
      <c r="A261" s="78"/>
      <c r="B261" s="78"/>
      <c r="C261" s="78"/>
      <c r="D261" s="106"/>
      <c r="E261" s="107"/>
      <c r="F261" s="107"/>
      <c r="G261" s="107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</row>
    <row r="262">
      <c r="A262" s="78"/>
      <c r="B262" s="78"/>
      <c r="C262" s="78"/>
      <c r="D262" s="106"/>
      <c r="E262" s="107"/>
      <c r="F262" s="107"/>
      <c r="G262" s="107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</row>
    <row r="263">
      <c r="A263" s="78"/>
      <c r="B263" s="78"/>
      <c r="C263" s="78"/>
      <c r="D263" s="106"/>
      <c r="E263" s="107"/>
      <c r="F263" s="107"/>
      <c r="G263" s="107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</row>
    <row r="264">
      <c r="A264" s="78"/>
      <c r="B264" s="78"/>
      <c r="C264" s="78"/>
      <c r="D264" s="106"/>
      <c r="E264" s="107"/>
      <c r="F264" s="107"/>
      <c r="G264" s="107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</row>
    <row r="265">
      <c r="A265" s="78"/>
      <c r="B265" s="78"/>
      <c r="C265" s="78"/>
      <c r="D265" s="106"/>
      <c r="E265" s="107"/>
      <c r="F265" s="107"/>
      <c r="G265" s="107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</row>
    <row r="266">
      <c r="A266" s="78"/>
      <c r="B266" s="78"/>
      <c r="C266" s="78"/>
      <c r="D266" s="106"/>
      <c r="E266" s="107"/>
      <c r="F266" s="107"/>
      <c r="G266" s="107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</row>
    <row r="267">
      <c r="A267" s="78"/>
      <c r="B267" s="78"/>
      <c r="C267" s="78"/>
      <c r="D267" s="106"/>
      <c r="E267" s="107"/>
      <c r="F267" s="107"/>
      <c r="G267" s="107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</row>
    <row r="268">
      <c r="A268" s="78"/>
      <c r="B268" s="78"/>
      <c r="C268" s="78"/>
      <c r="D268" s="106"/>
      <c r="E268" s="107"/>
      <c r="F268" s="107"/>
      <c r="G268" s="107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</row>
    <row r="269">
      <c r="A269" s="78"/>
      <c r="B269" s="78"/>
      <c r="C269" s="78"/>
      <c r="D269" s="106"/>
      <c r="E269" s="107"/>
      <c r="F269" s="107"/>
      <c r="G269" s="107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</row>
    <row r="270">
      <c r="A270" s="78"/>
      <c r="B270" s="78"/>
      <c r="C270" s="78"/>
      <c r="D270" s="106"/>
      <c r="E270" s="107"/>
      <c r="F270" s="107"/>
      <c r="G270" s="107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</row>
    <row r="271">
      <c r="A271" s="78"/>
      <c r="B271" s="78"/>
      <c r="C271" s="78"/>
      <c r="D271" s="106"/>
      <c r="E271" s="107"/>
      <c r="F271" s="107"/>
      <c r="G271" s="107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</row>
    <row r="272">
      <c r="A272" s="78"/>
      <c r="B272" s="78"/>
      <c r="C272" s="78"/>
      <c r="D272" s="106"/>
      <c r="E272" s="107"/>
      <c r="F272" s="107"/>
      <c r="G272" s="107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</row>
    <row r="273">
      <c r="A273" s="78"/>
      <c r="B273" s="78"/>
      <c r="C273" s="78"/>
      <c r="D273" s="106"/>
      <c r="E273" s="107"/>
      <c r="F273" s="107"/>
      <c r="G273" s="107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</row>
    <row r="274">
      <c r="A274" s="78"/>
      <c r="B274" s="78"/>
      <c r="C274" s="78"/>
      <c r="D274" s="106"/>
      <c r="E274" s="107"/>
      <c r="F274" s="107"/>
      <c r="G274" s="107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</row>
    <row r="275">
      <c r="A275" s="78"/>
      <c r="B275" s="78"/>
      <c r="C275" s="78"/>
      <c r="D275" s="106"/>
      <c r="E275" s="107"/>
      <c r="F275" s="107"/>
      <c r="G275" s="107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</row>
    <row r="276">
      <c r="A276" s="78"/>
      <c r="B276" s="78"/>
      <c r="C276" s="78"/>
      <c r="D276" s="106"/>
      <c r="E276" s="107"/>
      <c r="F276" s="107"/>
      <c r="G276" s="107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</row>
    <row r="277">
      <c r="A277" s="78"/>
      <c r="B277" s="78"/>
      <c r="C277" s="78"/>
      <c r="D277" s="106"/>
      <c r="E277" s="107"/>
      <c r="F277" s="107"/>
      <c r="G277" s="107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</row>
    <row r="278">
      <c r="A278" s="78"/>
      <c r="B278" s="78"/>
      <c r="C278" s="78"/>
      <c r="D278" s="106"/>
      <c r="E278" s="107"/>
      <c r="F278" s="107"/>
      <c r="G278" s="107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</row>
    <row r="279">
      <c r="A279" s="78"/>
      <c r="B279" s="78"/>
      <c r="C279" s="78"/>
      <c r="D279" s="106"/>
      <c r="E279" s="107"/>
      <c r="F279" s="107"/>
      <c r="G279" s="107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</row>
    <row r="280">
      <c r="A280" s="78"/>
      <c r="B280" s="78"/>
      <c r="C280" s="78"/>
      <c r="D280" s="106"/>
      <c r="E280" s="107"/>
      <c r="F280" s="107"/>
      <c r="G280" s="107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</row>
    <row r="281">
      <c r="A281" s="78"/>
      <c r="B281" s="78"/>
      <c r="C281" s="78"/>
      <c r="D281" s="106"/>
      <c r="E281" s="107"/>
      <c r="F281" s="107"/>
      <c r="G281" s="107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</row>
    <row r="282">
      <c r="A282" s="78"/>
      <c r="B282" s="78"/>
      <c r="C282" s="78"/>
      <c r="D282" s="106"/>
      <c r="E282" s="107"/>
      <c r="F282" s="107"/>
      <c r="G282" s="107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</row>
    <row r="283">
      <c r="A283" s="78"/>
      <c r="B283" s="78"/>
      <c r="C283" s="78"/>
      <c r="D283" s="106"/>
      <c r="E283" s="107"/>
      <c r="F283" s="107"/>
      <c r="G283" s="107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</row>
    <row r="284">
      <c r="A284" s="78"/>
      <c r="B284" s="78"/>
      <c r="C284" s="78"/>
      <c r="D284" s="106"/>
      <c r="E284" s="107"/>
      <c r="F284" s="107"/>
      <c r="G284" s="107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</row>
    <row r="285">
      <c r="A285" s="78"/>
      <c r="B285" s="78"/>
      <c r="C285" s="78"/>
      <c r="D285" s="106"/>
      <c r="E285" s="107"/>
      <c r="F285" s="107"/>
      <c r="G285" s="107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</row>
    <row r="286">
      <c r="A286" s="78"/>
      <c r="B286" s="78"/>
      <c r="C286" s="78"/>
      <c r="D286" s="106"/>
      <c r="E286" s="107"/>
      <c r="F286" s="107"/>
      <c r="G286" s="107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</row>
    <row r="287">
      <c r="A287" s="78"/>
      <c r="B287" s="78"/>
      <c r="C287" s="78"/>
      <c r="D287" s="106"/>
      <c r="E287" s="107"/>
      <c r="F287" s="107"/>
      <c r="G287" s="107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</row>
    <row r="288">
      <c r="A288" s="78"/>
      <c r="B288" s="78"/>
      <c r="C288" s="78"/>
      <c r="D288" s="106"/>
      <c r="E288" s="107"/>
      <c r="F288" s="107"/>
      <c r="G288" s="107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</row>
    <row r="289">
      <c r="A289" s="78"/>
      <c r="B289" s="78"/>
      <c r="C289" s="78"/>
      <c r="D289" s="106"/>
      <c r="E289" s="107"/>
      <c r="F289" s="107"/>
      <c r="G289" s="107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</row>
    <row r="290">
      <c r="A290" s="78"/>
      <c r="B290" s="78"/>
      <c r="C290" s="78"/>
      <c r="D290" s="106"/>
      <c r="E290" s="107"/>
      <c r="F290" s="107"/>
      <c r="G290" s="107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</row>
    <row r="291">
      <c r="A291" s="78"/>
      <c r="B291" s="78"/>
      <c r="C291" s="78"/>
      <c r="D291" s="106"/>
      <c r="E291" s="107"/>
      <c r="F291" s="107"/>
      <c r="G291" s="107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</row>
    <row r="292">
      <c r="A292" s="78"/>
      <c r="B292" s="78"/>
      <c r="C292" s="78"/>
      <c r="D292" s="106"/>
      <c r="E292" s="107"/>
      <c r="F292" s="107"/>
      <c r="G292" s="107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</row>
    <row r="293">
      <c r="A293" s="78"/>
      <c r="B293" s="78"/>
      <c r="C293" s="78"/>
      <c r="D293" s="106"/>
      <c r="E293" s="107"/>
      <c r="F293" s="107"/>
      <c r="G293" s="107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</row>
    <row r="294">
      <c r="A294" s="78"/>
      <c r="B294" s="78"/>
      <c r="C294" s="78"/>
      <c r="D294" s="106"/>
      <c r="E294" s="107"/>
      <c r="F294" s="107"/>
      <c r="G294" s="107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</row>
    <row r="295">
      <c r="A295" s="78"/>
      <c r="B295" s="78"/>
      <c r="C295" s="78"/>
      <c r="D295" s="106"/>
      <c r="E295" s="107"/>
      <c r="F295" s="107"/>
      <c r="G295" s="107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</row>
    <row r="296">
      <c r="A296" s="78"/>
      <c r="B296" s="78"/>
      <c r="C296" s="78"/>
      <c r="D296" s="106"/>
      <c r="E296" s="107"/>
      <c r="F296" s="107"/>
      <c r="G296" s="107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</row>
    <row r="297">
      <c r="A297" s="78"/>
      <c r="B297" s="78"/>
      <c r="C297" s="78"/>
      <c r="D297" s="106"/>
      <c r="E297" s="107"/>
      <c r="F297" s="107"/>
      <c r="G297" s="107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</row>
    <row r="298">
      <c r="A298" s="78"/>
      <c r="B298" s="78"/>
      <c r="C298" s="78"/>
      <c r="D298" s="106"/>
      <c r="E298" s="107"/>
      <c r="F298" s="107"/>
      <c r="G298" s="107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</row>
    <row r="299">
      <c r="A299" s="78"/>
      <c r="B299" s="78"/>
      <c r="C299" s="78"/>
      <c r="D299" s="106"/>
      <c r="E299" s="107"/>
      <c r="F299" s="107"/>
      <c r="G299" s="107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</row>
    <row r="300">
      <c r="A300" s="78"/>
      <c r="B300" s="78"/>
      <c r="C300" s="78"/>
      <c r="D300" s="106"/>
      <c r="E300" s="107"/>
      <c r="F300" s="107"/>
      <c r="G300" s="107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</row>
    <row r="301">
      <c r="A301" s="78"/>
      <c r="B301" s="78"/>
      <c r="C301" s="78"/>
      <c r="D301" s="106"/>
      <c r="E301" s="107"/>
      <c r="F301" s="107"/>
      <c r="G301" s="107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</row>
    <row r="302">
      <c r="A302" s="78"/>
      <c r="B302" s="78"/>
      <c r="C302" s="78"/>
      <c r="D302" s="106"/>
      <c r="E302" s="107"/>
      <c r="F302" s="107"/>
      <c r="G302" s="107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</row>
    <row r="303">
      <c r="A303" s="78"/>
      <c r="B303" s="78"/>
      <c r="C303" s="78"/>
      <c r="D303" s="106"/>
      <c r="E303" s="107"/>
      <c r="F303" s="107"/>
      <c r="G303" s="107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</row>
    <row r="304">
      <c r="A304" s="78"/>
      <c r="B304" s="78"/>
      <c r="C304" s="78"/>
      <c r="D304" s="106"/>
      <c r="E304" s="107"/>
      <c r="F304" s="107"/>
      <c r="G304" s="107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</row>
    <row r="305">
      <c r="A305" s="78"/>
      <c r="B305" s="78"/>
      <c r="C305" s="78"/>
      <c r="D305" s="106"/>
      <c r="E305" s="107"/>
      <c r="F305" s="107"/>
      <c r="G305" s="107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</row>
    <row r="306">
      <c r="A306" s="78"/>
      <c r="B306" s="78"/>
      <c r="C306" s="78"/>
      <c r="D306" s="106"/>
      <c r="E306" s="107"/>
      <c r="F306" s="107"/>
      <c r="G306" s="107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</row>
    <row r="307">
      <c r="A307" s="78"/>
      <c r="B307" s="78"/>
      <c r="C307" s="78"/>
      <c r="D307" s="106"/>
      <c r="E307" s="107"/>
      <c r="F307" s="107"/>
      <c r="G307" s="107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</row>
    <row r="308">
      <c r="A308" s="78"/>
      <c r="B308" s="78"/>
      <c r="C308" s="78"/>
      <c r="D308" s="106"/>
      <c r="E308" s="107"/>
      <c r="F308" s="107"/>
      <c r="G308" s="107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</row>
    <row r="309">
      <c r="A309" s="78"/>
      <c r="B309" s="78"/>
      <c r="C309" s="78"/>
      <c r="D309" s="106"/>
      <c r="E309" s="107"/>
      <c r="F309" s="107"/>
      <c r="G309" s="107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</row>
    <row r="310">
      <c r="A310" s="78"/>
      <c r="B310" s="78"/>
      <c r="C310" s="78"/>
      <c r="D310" s="106"/>
      <c r="E310" s="107"/>
      <c r="F310" s="107"/>
      <c r="G310" s="107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</row>
    <row r="311">
      <c r="A311" s="78"/>
      <c r="B311" s="78"/>
      <c r="C311" s="78"/>
      <c r="D311" s="106"/>
      <c r="E311" s="107"/>
      <c r="F311" s="107"/>
      <c r="G311" s="107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</row>
    <row r="312">
      <c r="A312" s="78"/>
      <c r="B312" s="78"/>
      <c r="C312" s="78"/>
      <c r="D312" s="106"/>
      <c r="E312" s="107"/>
      <c r="F312" s="107"/>
      <c r="G312" s="107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</row>
    <row r="313">
      <c r="A313" s="78"/>
      <c r="B313" s="78"/>
      <c r="C313" s="78"/>
      <c r="D313" s="106"/>
      <c r="E313" s="107"/>
      <c r="F313" s="107"/>
      <c r="G313" s="107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</row>
    <row r="314">
      <c r="A314" s="78"/>
      <c r="B314" s="78"/>
      <c r="C314" s="78"/>
      <c r="D314" s="106"/>
      <c r="E314" s="107"/>
      <c r="F314" s="107"/>
      <c r="G314" s="107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</row>
    <row r="315">
      <c r="A315" s="78"/>
      <c r="B315" s="78"/>
      <c r="C315" s="78"/>
      <c r="D315" s="106"/>
      <c r="E315" s="107"/>
      <c r="F315" s="107"/>
      <c r="G315" s="107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</row>
    <row r="316">
      <c r="A316" s="78"/>
      <c r="B316" s="78"/>
      <c r="C316" s="78"/>
      <c r="D316" s="106"/>
      <c r="E316" s="107"/>
      <c r="F316" s="107"/>
      <c r="G316" s="107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</row>
    <row r="317">
      <c r="A317" s="78"/>
      <c r="B317" s="78"/>
      <c r="C317" s="78"/>
      <c r="D317" s="106"/>
      <c r="E317" s="107"/>
      <c r="F317" s="107"/>
      <c r="G317" s="107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</row>
    <row r="318">
      <c r="A318" s="78"/>
      <c r="B318" s="78"/>
      <c r="C318" s="78"/>
      <c r="D318" s="106"/>
      <c r="E318" s="107"/>
      <c r="F318" s="107"/>
      <c r="G318" s="107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</row>
    <row r="319">
      <c r="A319" s="78"/>
      <c r="B319" s="78"/>
      <c r="C319" s="78"/>
      <c r="D319" s="106"/>
      <c r="E319" s="107"/>
      <c r="F319" s="107"/>
      <c r="G319" s="107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</row>
    <row r="320">
      <c r="A320" s="78"/>
      <c r="B320" s="78"/>
      <c r="C320" s="78"/>
      <c r="D320" s="106"/>
      <c r="E320" s="107"/>
      <c r="F320" s="107"/>
      <c r="G320" s="107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</row>
    <row r="321">
      <c r="A321" s="78"/>
      <c r="B321" s="78"/>
      <c r="C321" s="78"/>
      <c r="D321" s="106"/>
      <c r="E321" s="107"/>
      <c r="F321" s="107"/>
      <c r="G321" s="107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</row>
    <row r="322">
      <c r="A322" s="78"/>
      <c r="B322" s="78"/>
      <c r="C322" s="78"/>
      <c r="D322" s="106"/>
      <c r="E322" s="107"/>
      <c r="F322" s="107"/>
      <c r="G322" s="107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</row>
    <row r="323">
      <c r="A323" s="78"/>
      <c r="B323" s="78"/>
      <c r="C323" s="78"/>
      <c r="D323" s="106"/>
      <c r="E323" s="107"/>
      <c r="F323" s="107"/>
      <c r="G323" s="107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</row>
    <row r="324">
      <c r="A324" s="78"/>
      <c r="B324" s="78"/>
      <c r="C324" s="78"/>
      <c r="D324" s="106"/>
      <c r="E324" s="107"/>
      <c r="F324" s="107"/>
      <c r="G324" s="107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</row>
    <row r="325">
      <c r="A325" s="78"/>
      <c r="B325" s="78"/>
      <c r="C325" s="78"/>
      <c r="D325" s="106"/>
      <c r="E325" s="107"/>
      <c r="F325" s="107"/>
      <c r="G325" s="107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</row>
    <row r="326">
      <c r="A326" s="78"/>
      <c r="B326" s="78"/>
      <c r="C326" s="78"/>
      <c r="D326" s="106"/>
      <c r="E326" s="107"/>
      <c r="F326" s="107"/>
      <c r="G326" s="107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</row>
    <row r="327">
      <c r="A327" s="78"/>
      <c r="B327" s="78"/>
      <c r="C327" s="78"/>
      <c r="D327" s="106"/>
      <c r="E327" s="107"/>
      <c r="F327" s="107"/>
      <c r="G327" s="107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</row>
    <row r="328">
      <c r="A328" s="78"/>
      <c r="B328" s="78"/>
      <c r="C328" s="78"/>
      <c r="D328" s="106"/>
      <c r="E328" s="107"/>
      <c r="F328" s="107"/>
      <c r="G328" s="107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</row>
    <row r="329">
      <c r="A329" s="78"/>
      <c r="B329" s="78"/>
      <c r="C329" s="78"/>
      <c r="D329" s="106"/>
      <c r="E329" s="107"/>
      <c r="F329" s="107"/>
      <c r="G329" s="107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</row>
    <row r="330">
      <c r="A330" s="78"/>
      <c r="B330" s="78"/>
      <c r="C330" s="78"/>
      <c r="D330" s="106"/>
      <c r="E330" s="107"/>
      <c r="F330" s="107"/>
      <c r="G330" s="107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</row>
    <row r="331">
      <c r="A331" s="78"/>
      <c r="B331" s="78"/>
      <c r="C331" s="78"/>
      <c r="D331" s="106"/>
      <c r="E331" s="107"/>
      <c r="F331" s="107"/>
      <c r="G331" s="107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</row>
    <row r="332">
      <c r="A332" s="78"/>
      <c r="B332" s="78"/>
      <c r="C332" s="78"/>
      <c r="D332" s="106"/>
      <c r="E332" s="107"/>
      <c r="F332" s="107"/>
      <c r="G332" s="107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</row>
    <row r="333">
      <c r="A333" s="78"/>
      <c r="B333" s="78"/>
      <c r="C333" s="78"/>
      <c r="D333" s="106"/>
      <c r="E333" s="107"/>
      <c r="F333" s="107"/>
      <c r="G333" s="107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</row>
    <row r="334">
      <c r="A334" s="78"/>
      <c r="B334" s="78"/>
      <c r="C334" s="78"/>
      <c r="D334" s="106"/>
      <c r="E334" s="107"/>
      <c r="F334" s="107"/>
      <c r="G334" s="107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</row>
    <row r="335">
      <c r="A335" s="78"/>
      <c r="B335" s="78"/>
      <c r="C335" s="78"/>
      <c r="D335" s="106"/>
      <c r="E335" s="107"/>
      <c r="F335" s="107"/>
      <c r="G335" s="107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</row>
    <row r="336">
      <c r="A336" s="78"/>
      <c r="B336" s="78"/>
      <c r="C336" s="78"/>
      <c r="D336" s="106"/>
      <c r="E336" s="107"/>
      <c r="F336" s="107"/>
      <c r="G336" s="107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</row>
    <row r="337">
      <c r="A337" s="78"/>
      <c r="B337" s="78"/>
      <c r="C337" s="78"/>
      <c r="D337" s="106"/>
      <c r="E337" s="107"/>
      <c r="F337" s="107"/>
      <c r="G337" s="107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</row>
    <row r="338">
      <c r="A338" s="78"/>
      <c r="B338" s="78"/>
      <c r="C338" s="78"/>
      <c r="D338" s="106"/>
      <c r="E338" s="107"/>
      <c r="F338" s="107"/>
      <c r="G338" s="107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</row>
    <row r="339">
      <c r="A339" s="78"/>
      <c r="B339" s="78"/>
      <c r="C339" s="78"/>
      <c r="D339" s="106"/>
      <c r="E339" s="107"/>
      <c r="F339" s="107"/>
      <c r="G339" s="107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</row>
    <row r="340">
      <c r="A340" s="78"/>
      <c r="B340" s="78"/>
      <c r="C340" s="78"/>
      <c r="D340" s="106"/>
      <c r="E340" s="107"/>
      <c r="F340" s="107"/>
      <c r="G340" s="107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</row>
    <row r="341">
      <c r="A341" s="78"/>
      <c r="B341" s="78"/>
      <c r="C341" s="78"/>
      <c r="D341" s="106"/>
      <c r="E341" s="107"/>
      <c r="F341" s="107"/>
      <c r="G341" s="107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</row>
    <row r="342">
      <c r="A342" s="78"/>
      <c r="B342" s="78"/>
      <c r="C342" s="78"/>
      <c r="D342" s="106"/>
      <c r="E342" s="107"/>
      <c r="F342" s="107"/>
      <c r="G342" s="107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</row>
    <row r="343">
      <c r="A343" s="78"/>
      <c r="B343" s="78"/>
      <c r="C343" s="78"/>
      <c r="D343" s="106"/>
      <c r="E343" s="107"/>
      <c r="F343" s="107"/>
      <c r="G343" s="107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</row>
    <row r="344">
      <c r="A344" s="78"/>
      <c r="B344" s="78"/>
      <c r="C344" s="78"/>
      <c r="D344" s="106"/>
      <c r="E344" s="107"/>
      <c r="F344" s="107"/>
      <c r="G344" s="107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</row>
    <row r="345">
      <c r="A345" s="78"/>
      <c r="B345" s="78"/>
      <c r="C345" s="78"/>
      <c r="D345" s="106"/>
      <c r="E345" s="107"/>
      <c r="F345" s="107"/>
      <c r="G345" s="107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</row>
    <row r="346">
      <c r="A346" s="78"/>
      <c r="B346" s="78"/>
      <c r="C346" s="78"/>
      <c r="D346" s="106"/>
      <c r="E346" s="107"/>
      <c r="F346" s="107"/>
      <c r="G346" s="107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</row>
    <row r="347">
      <c r="A347" s="78"/>
      <c r="B347" s="78"/>
      <c r="C347" s="78"/>
      <c r="D347" s="106"/>
      <c r="E347" s="107"/>
      <c r="F347" s="107"/>
      <c r="G347" s="107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</row>
    <row r="348">
      <c r="A348" s="78"/>
      <c r="B348" s="78"/>
      <c r="C348" s="78"/>
      <c r="D348" s="106"/>
      <c r="E348" s="107"/>
      <c r="F348" s="107"/>
      <c r="G348" s="107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</row>
    <row r="349">
      <c r="A349" s="78"/>
      <c r="B349" s="78"/>
      <c r="C349" s="78"/>
      <c r="D349" s="106"/>
      <c r="E349" s="107"/>
      <c r="F349" s="107"/>
      <c r="G349" s="107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</row>
    <row r="350">
      <c r="A350" s="78"/>
      <c r="B350" s="78"/>
      <c r="C350" s="78"/>
      <c r="D350" s="106"/>
      <c r="E350" s="107"/>
      <c r="F350" s="107"/>
      <c r="G350" s="107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</row>
    <row r="351">
      <c r="A351" s="78"/>
      <c r="B351" s="78"/>
      <c r="C351" s="78"/>
      <c r="D351" s="106"/>
      <c r="E351" s="107"/>
      <c r="F351" s="107"/>
      <c r="G351" s="107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</row>
    <row r="352">
      <c r="A352" s="78"/>
      <c r="B352" s="78"/>
      <c r="C352" s="78"/>
      <c r="D352" s="106"/>
      <c r="E352" s="107"/>
      <c r="F352" s="107"/>
      <c r="G352" s="107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</row>
    <row r="353">
      <c r="A353" s="78"/>
      <c r="B353" s="78"/>
      <c r="C353" s="78"/>
      <c r="D353" s="106"/>
      <c r="E353" s="107"/>
      <c r="F353" s="107"/>
      <c r="G353" s="107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</row>
    <row r="354">
      <c r="A354" s="78"/>
      <c r="B354" s="78"/>
      <c r="C354" s="78"/>
      <c r="D354" s="106"/>
      <c r="E354" s="107"/>
      <c r="F354" s="107"/>
      <c r="G354" s="107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</row>
    <row r="355">
      <c r="A355" s="78"/>
      <c r="B355" s="78"/>
      <c r="C355" s="78"/>
      <c r="D355" s="106"/>
      <c r="E355" s="107"/>
      <c r="F355" s="107"/>
      <c r="G355" s="107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</row>
    <row r="356">
      <c r="A356" s="78"/>
      <c r="B356" s="78"/>
      <c r="C356" s="78"/>
      <c r="D356" s="106"/>
      <c r="E356" s="107"/>
      <c r="F356" s="107"/>
      <c r="G356" s="107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</row>
    <row r="357">
      <c r="A357" s="78"/>
      <c r="B357" s="78"/>
      <c r="C357" s="78"/>
      <c r="D357" s="106"/>
      <c r="E357" s="107"/>
      <c r="F357" s="107"/>
      <c r="G357" s="107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</row>
    <row r="358">
      <c r="A358" s="78"/>
      <c r="B358" s="78"/>
      <c r="C358" s="78"/>
      <c r="D358" s="106"/>
      <c r="E358" s="107"/>
      <c r="F358" s="107"/>
      <c r="G358" s="107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</row>
    <row r="359">
      <c r="A359" s="78"/>
      <c r="B359" s="78"/>
      <c r="C359" s="78"/>
      <c r="D359" s="106"/>
      <c r="E359" s="107"/>
      <c r="F359" s="107"/>
      <c r="G359" s="107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</row>
    <row r="360">
      <c r="A360" s="78"/>
      <c r="B360" s="78"/>
      <c r="C360" s="78"/>
      <c r="D360" s="106"/>
      <c r="E360" s="107"/>
      <c r="F360" s="107"/>
      <c r="G360" s="107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</row>
    <row r="361">
      <c r="A361" s="78"/>
      <c r="B361" s="78"/>
      <c r="C361" s="78"/>
      <c r="D361" s="106"/>
      <c r="E361" s="107"/>
      <c r="F361" s="107"/>
      <c r="G361" s="107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</row>
    <row r="362">
      <c r="A362" s="78"/>
      <c r="B362" s="78"/>
      <c r="C362" s="78"/>
      <c r="D362" s="106"/>
      <c r="E362" s="107"/>
      <c r="F362" s="107"/>
      <c r="G362" s="107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</row>
    <row r="363">
      <c r="A363" s="78"/>
      <c r="B363" s="78"/>
      <c r="C363" s="78"/>
      <c r="D363" s="106"/>
      <c r="E363" s="107"/>
      <c r="F363" s="107"/>
      <c r="G363" s="107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</row>
    <row r="364">
      <c r="A364" s="78"/>
      <c r="B364" s="78"/>
      <c r="C364" s="78"/>
      <c r="D364" s="106"/>
      <c r="E364" s="107"/>
      <c r="F364" s="107"/>
      <c r="G364" s="107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</row>
    <row r="365">
      <c r="A365" s="78"/>
      <c r="B365" s="78"/>
      <c r="C365" s="78"/>
      <c r="D365" s="106"/>
      <c r="E365" s="107"/>
      <c r="F365" s="107"/>
      <c r="G365" s="107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</row>
    <row r="366">
      <c r="A366" s="78"/>
      <c r="B366" s="78"/>
      <c r="C366" s="78"/>
      <c r="D366" s="106"/>
      <c r="E366" s="107"/>
      <c r="F366" s="107"/>
      <c r="G366" s="107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</row>
    <row r="367">
      <c r="A367" s="78"/>
      <c r="B367" s="78"/>
      <c r="C367" s="78"/>
      <c r="D367" s="106"/>
      <c r="E367" s="107"/>
      <c r="F367" s="107"/>
      <c r="G367" s="107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</row>
    <row r="368">
      <c r="A368" s="78"/>
      <c r="B368" s="78"/>
      <c r="C368" s="78"/>
      <c r="D368" s="106"/>
      <c r="E368" s="107"/>
      <c r="F368" s="107"/>
      <c r="G368" s="107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</row>
    <row r="369">
      <c r="A369" s="78"/>
      <c r="B369" s="78"/>
      <c r="C369" s="78"/>
      <c r="D369" s="106"/>
      <c r="E369" s="107"/>
      <c r="F369" s="107"/>
      <c r="G369" s="107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</row>
    <row r="370">
      <c r="A370" s="78"/>
      <c r="B370" s="78"/>
      <c r="C370" s="78"/>
      <c r="D370" s="106"/>
      <c r="E370" s="107"/>
      <c r="F370" s="107"/>
      <c r="G370" s="107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</row>
    <row r="371">
      <c r="A371" s="78"/>
      <c r="B371" s="78"/>
      <c r="C371" s="78"/>
      <c r="D371" s="106"/>
      <c r="E371" s="107"/>
      <c r="F371" s="107"/>
      <c r="G371" s="107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</row>
    <row r="372">
      <c r="A372" s="78"/>
      <c r="B372" s="78"/>
      <c r="C372" s="78"/>
      <c r="D372" s="106"/>
      <c r="E372" s="107"/>
      <c r="F372" s="107"/>
      <c r="G372" s="107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</row>
    <row r="373">
      <c r="A373" s="78"/>
      <c r="B373" s="78"/>
      <c r="C373" s="78"/>
      <c r="D373" s="106"/>
      <c r="E373" s="107"/>
      <c r="F373" s="107"/>
      <c r="G373" s="107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</row>
    <row r="374">
      <c r="A374" s="78"/>
      <c r="B374" s="78"/>
      <c r="C374" s="78"/>
      <c r="D374" s="106"/>
      <c r="E374" s="107"/>
      <c r="F374" s="107"/>
      <c r="G374" s="107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</row>
    <row r="375">
      <c r="A375" s="78"/>
      <c r="B375" s="78"/>
      <c r="C375" s="78"/>
      <c r="D375" s="106"/>
      <c r="E375" s="107"/>
      <c r="F375" s="107"/>
      <c r="G375" s="107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</row>
    <row r="376">
      <c r="A376" s="78"/>
      <c r="B376" s="78"/>
      <c r="C376" s="78"/>
      <c r="D376" s="106"/>
      <c r="E376" s="107"/>
      <c r="F376" s="107"/>
      <c r="G376" s="107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</row>
    <row r="377">
      <c r="A377" s="78"/>
      <c r="B377" s="78"/>
      <c r="C377" s="78"/>
      <c r="D377" s="106"/>
      <c r="E377" s="107"/>
      <c r="F377" s="107"/>
      <c r="G377" s="107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</row>
    <row r="378">
      <c r="A378" s="78"/>
      <c r="B378" s="78"/>
      <c r="C378" s="78"/>
      <c r="D378" s="106"/>
      <c r="E378" s="107"/>
      <c r="F378" s="107"/>
      <c r="G378" s="107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</row>
    <row r="379">
      <c r="A379" s="78"/>
      <c r="B379" s="78"/>
      <c r="C379" s="78"/>
      <c r="D379" s="106"/>
      <c r="E379" s="107"/>
      <c r="F379" s="107"/>
      <c r="G379" s="107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</row>
    <row r="380">
      <c r="A380" s="78"/>
      <c r="B380" s="78"/>
      <c r="C380" s="78"/>
      <c r="D380" s="106"/>
      <c r="E380" s="107"/>
      <c r="F380" s="107"/>
      <c r="G380" s="107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</row>
    <row r="381">
      <c r="A381" s="78"/>
      <c r="B381" s="78"/>
      <c r="C381" s="78"/>
      <c r="D381" s="106"/>
      <c r="E381" s="107"/>
      <c r="F381" s="107"/>
      <c r="G381" s="107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</row>
    <row r="382">
      <c r="A382" s="78"/>
      <c r="B382" s="78"/>
      <c r="C382" s="78"/>
      <c r="D382" s="106"/>
      <c r="E382" s="107"/>
      <c r="F382" s="107"/>
      <c r="G382" s="107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</row>
    <row r="383">
      <c r="A383" s="78"/>
      <c r="B383" s="78"/>
      <c r="C383" s="78"/>
      <c r="D383" s="106"/>
      <c r="E383" s="107"/>
      <c r="F383" s="107"/>
      <c r="G383" s="107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</row>
    <row r="384">
      <c r="A384" s="78"/>
      <c r="B384" s="78"/>
      <c r="C384" s="78"/>
      <c r="D384" s="106"/>
      <c r="E384" s="107"/>
      <c r="F384" s="107"/>
      <c r="G384" s="107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</row>
    <row r="385">
      <c r="A385" s="78"/>
      <c r="B385" s="78"/>
      <c r="C385" s="78"/>
      <c r="D385" s="106"/>
      <c r="E385" s="107"/>
      <c r="F385" s="107"/>
      <c r="G385" s="107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</row>
    <row r="386">
      <c r="A386" s="78"/>
      <c r="B386" s="78"/>
      <c r="C386" s="78"/>
      <c r="D386" s="106"/>
      <c r="E386" s="107"/>
      <c r="F386" s="107"/>
      <c r="G386" s="107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</row>
    <row r="387">
      <c r="A387" s="78"/>
      <c r="B387" s="78"/>
      <c r="C387" s="78"/>
      <c r="D387" s="106"/>
      <c r="E387" s="107"/>
      <c r="F387" s="107"/>
      <c r="G387" s="107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</row>
    <row r="388">
      <c r="A388" s="78"/>
      <c r="B388" s="78"/>
      <c r="C388" s="78"/>
      <c r="D388" s="106"/>
      <c r="E388" s="107"/>
      <c r="F388" s="107"/>
      <c r="G388" s="107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</row>
    <row r="389">
      <c r="A389" s="78"/>
      <c r="B389" s="78"/>
      <c r="C389" s="78"/>
      <c r="D389" s="106"/>
      <c r="E389" s="107"/>
      <c r="F389" s="107"/>
      <c r="G389" s="107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</row>
    <row r="390">
      <c r="A390" s="78"/>
      <c r="B390" s="78"/>
      <c r="C390" s="78"/>
      <c r="D390" s="106"/>
      <c r="E390" s="107"/>
      <c r="F390" s="107"/>
      <c r="G390" s="107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</row>
    <row r="391">
      <c r="A391" s="78"/>
      <c r="B391" s="78"/>
      <c r="C391" s="78"/>
      <c r="D391" s="106"/>
      <c r="E391" s="107"/>
      <c r="F391" s="107"/>
      <c r="G391" s="107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</row>
    <row r="392">
      <c r="A392" s="78"/>
      <c r="B392" s="78"/>
      <c r="C392" s="78"/>
      <c r="D392" s="106"/>
      <c r="E392" s="107"/>
      <c r="F392" s="107"/>
      <c r="G392" s="107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</row>
    <row r="393">
      <c r="A393" s="78"/>
      <c r="B393" s="78"/>
      <c r="C393" s="78"/>
      <c r="D393" s="106"/>
      <c r="E393" s="107"/>
      <c r="F393" s="107"/>
      <c r="G393" s="107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</row>
    <row r="394">
      <c r="A394" s="78"/>
      <c r="B394" s="78"/>
      <c r="C394" s="78"/>
      <c r="D394" s="106"/>
      <c r="E394" s="107"/>
      <c r="F394" s="107"/>
      <c r="G394" s="107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</row>
    <row r="395">
      <c r="A395" s="78"/>
      <c r="B395" s="78"/>
      <c r="C395" s="78"/>
      <c r="D395" s="106"/>
      <c r="E395" s="107"/>
      <c r="F395" s="107"/>
      <c r="G395" s="107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</row>
    <row r="396">
      <c r="A396" s="78"/>
      <c r="B396" s="78"/>
      <c r="C396" s="78"/>
      <c r="D396" s="106"/>
      <c r="E396" s="107"/>
      <c r="F396" s="107"/>
      <c r="G396" s="107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</row>
    <row r="397">
      <c r="A397" s="78"/>
      <c r="B397" s="78"/>
      <c r="C397" s="78"/>
      <c r="D397" s="106"/>
      <c r="E397" s="107"/>
      <c r="F397" s="107"/>
      <c r="G397" s="107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</row>
    <row r="398">
      <c r="A398" s="78"/>
      <c r="B398" s="78"/>
      <c r="C398" s="78"/>
      <c r="D398" s="106"/>
      <c r="E398" s="107"/>
      <c r="F398" s="107"/>
      <c r="G398" s="107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</row>
    <row r="399">
      <c r="A399" s="78"/>
      <c r="B399" s="78"/>
      <c r="C399" s="78"/>
      <c r="D399" s="106"/>
      <c r="E399" s="107"/>
      <c r="F399" s="107"/>
      <c r="G399" s="107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</row>
    <row r="400">
      <c r="A400" s="78"/>
      <c r="B400" s="78"/>
      <c r="C400" s="78"/>
      <c r="D400" s="106"/>
      <c r="E400" s="107"/>
      <c r="F400" s="107"/>
      <c r="G400" s="107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</row>
    <row r="401">
      <c r="A401" s="78"/>
      <c r="B401" s="78"/>
      <c r="C401" s="78"/>
      <c r="D401" s="106"/>
      <c r="E401" s="107"/>
      <c r="F401" s="107"/>
      <c r="G401" s="107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</row>
    <row r="402">
      <c r="A402" s="78"/>
      <c r="B402" s="78"/>
      <c r="C402" s="78"/>
      <c r="D402" s="106"/>
      <c r="E402" s="107"/>
      <c r="F402" s="107"/>
      <c r="G402" s="107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</row>
    <row r="403">
      <c r="A403" s="78"/>
      <c r="B403" s="78"/>
      <c r="C403" s="78"/>
      <c r="D403" s="106"/>
      <c r="E403" s="107"/>
      <c r="F403" s="107"/>
      <c r="G403" s="107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</row>
    <row r="404">
      <c r="A404" s="78"/>
      <c r="B404" s="78"/>
      <c r="C404" s="78"/>
      <c r="D404" s="106"/>
      <c r="E404" s="107"/>
      <c r="F404" s="107"/>
      <c r="G404" s="107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</row>
    <row r="405">
      <c r="A405" s="78"/>
      <c r="B405" s="78"/>
      <c r="C405" s="78"/>
      <c r="D405" s="106"/>
      <c r="E405" s="107"/>
      <c r="F405" s="107"/>
      <c r="G405" s="107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</row>
    <row r="406">
      <c r="A406" s="78"/>
      <c r="B406" s="78"/>
      <c r="C406" s="78"/>
      <c r="D406" s="106"/>
      <c r="E406" s="107"/>
      <c r="F406" s="107"/>
      <c r="G406" s="107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</row>
    <row r="407">
      <c r="A407" s="78"/>
      <c r="B407" s="78"/>
      <c r="C407" s="78"/>
      <c r="D407" s="106"/>
      <c r="E407" s="107"/>
      <c r="F407" s="107"/>
      <c r="G407" s="107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</row>
    <row r="408">
      <c r="A408" s="78"/>
      <c r="B408" s="78"/>
      <c r="C408" s="78"/>
      <c r="D408" s="106"/>
      <c r="E408" s="107"/>
      <c r="F408" s="107"/>
      <c r="G408" s="107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</row>
    <row r="409">
      <c r="A409" s="78"/>
      <c r="B409" s="78"/>
      <c r="C409" s="78"/>
      <c r="D409" s="106"/>
      <c r="E409" s="107"/>
      <c r="F409" s="107"/>
      <c r="G409" s="107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</row>
    <row r="410">
      <c r="A410" s="78"/>
      <c r="B410" s="78"/>
      <c r="C410" s="78"/>
      <c r="D410" s="106"/>
      <c r="E410" s="107"/>
      <c r="F410" s="107"/>
      <c r="G410" s="107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</row>
    <row r="411">
      <c r="A411" s="78"/>
      <c r="B411" s="78"/>
      <c r="C411" s="78"/>
      <c r="D411" s="106"/>
      <c r="E411" s="107"/>
      <c r="F411" s="107"/>
      <c r="G411" s="107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</row>
    <row r="412">
      <c r="A412" s="78"/>
      <c r="B412" s="78"/>
      <c r="C412" s="78"/>
      <c r="D412" s="106"/>
      <c r="E412" s="107"/>
      <c r="F412" s="107"/>
      <c r="G412" s="107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</row>
    <row r="413">
      <c r="A413" s="78"/>
      <c r="B413" s="78"/>
      <c r="C413" s="78"/>
      <c r="D413" s="106"/>
      <c r="E413" s="107"/>
      <c r="F413" s="107"/>
      <c r="G413" s="107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</row>
    <row r="414">
      <c r="A414" s="78"/>
      <c r="B414" s="78"/>
      <c r="C414" s="78"/>
      <c r="D414" s="106"/>
      <c r="E414" s="107"/>
      <c r="F414" s="107"/>
      <c r="G414" s="107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</row>
    <row r="415">
      <c r="A415" s="78"/>
      <c r="B415" s="78"/>
      <c r="C415" s="78"/>
      <c r="D415" s="106"/>
      <c r="E415" s="107"/>
      <c r="F415" s="107"/>
      <c r="G415" s="107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</row>
    <row r="416">
      <c r="A416" s="78"/>
      <c r="B416" s="78"/>
      <c r="C416" s="78"/>
      <c r="D416" s="106"/>
      <c r="E416" s="107"/>
      <c r="F416" s="107"/>
      <c r="G416" s="107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</row>
    <row r="417">
      <c r="A417" s="78"/>
      <c r="B417" s="78"/>
      <c r="C417" s="78"/>
      <c r="D417" s="106"/>
      <c r="E417" s="107"/>
      <c r="F417" s="107"/>
      <c r="G417" s="107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</row>
    <row r="418">
      <c r="A418" s="78"/>
      <c r="B418" s="78"/>
      <c r="C418" s="78"/>
      <c r="D418" s="106"/>
      <c r="E418" s="107"/>
      <c r="F418" s="107"/>
      <c r="G418" s="107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</row>
    <row r="419">
      <c r="A419" s="78"/>
      <c r="B419" s="78"/>
      <c r="C419" s="78"/>
      <c r="D419" s="106"/>
      <c r="E419" s="107"/>
      <c r="F419" s="107"/>
      <c r="G419" s="107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</row>
    <row r="420">
      <c r="A420" s="78"/>
      <c r="B420" s="78"/>
      <c r="C420" s="78"/>
      <c r="D420" s="106"/>
      <c r="E420" s="107"/>
      <c r="F420" s="107"/>
      <c r="G420" s="107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</row>
    <row r="421">
      <c r="A421" s="78"/>
      <c r="B421" s="78"/>
      <c r="C421" s="78"/>
      <c r="D421" s="106"/>
      <c r="E421" s="107"/>
      <c r="F421" s="107"/>
      <c r="G421" s="107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</row>
    <row r="422">
      <c r="A422" s="78"/>
      <c r="B422" s="78"/>
      <c r="C422" s="78"/>
      <c r="D422" s="106"/>
      <c r="E422" s="107"/>
      <c r="F422" s="107"/>
      <c r="G422" s="107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</row>
    <row r="423">
      <c r="A423" s="78"/>
      <c r="B423" s="78"/>
      <c r="C423" s="78"/>
      <c r="D423" s="106"/>
      <c r="E423" s="107"/>
      <c r="F423" s="107"/>
      <c r="G423" s="107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</row>
    <row r="424">
      <c r="A424" s="78"/>
      <c r="B424" s="78"/>
      <c r="C424" s="78"/>
      <c r="D424" s="106"/>
      <c r="E424" s="107"/>
      <c r="F424" s="107"/>
      <c r="G424" s="107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</row>
    <row r="425">
      <c r="A425" s="78"/>
      <c r="B425" s="78"/>
      <c r="C425" s="78"/>
      <c r="D425" s="106"/>
      <c r="E425" s="107"/>
      <c r="F425" s="107"/>
      <c r="G425" s="107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</row>
    <row r="426">
      <c r="A426" s="78"/>
      <c r="B426" s="78"/>
      <c r="C426" s="78"/>
      <c r="D426" s="106"/>
      <c r="E426" s="107"/>
      <c r="F426" s="107"/>
      <c r="G426" s="107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</row>
    <row r="427">
      <c r="A427" s="78"/>
      <c r="B427" s="78"/>
      <c r="C427" s="78"/>
      <c r="D427" s="106"/>
      <c r="E427" s="107"/>
      <c r="F427" s="107"/>
      <c r="G427" s="107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</row>
    <row r="428">
      <c r="A428" s="78"/>
      <c r="B428" s="78"/>
      <c r="C428" s="78"/>
      <c r="D428" s="106"/>
      <c r="E428" s="107"/>
      <c r="F428" s="107"/>
      <c r="G428" s="107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</row>
    <row r="429">
      <c r="A429" s="78"/>
      <c r="B429" s="78"/>
      <c r="C429" s="78"/>
      <c r="D429" s="106"/>
      <c r="E429" s="107"/>
      <c r="F429" s="107"/>
      <c r="G429" s="107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</row>
    <row r="430">
      <c r="A430" s="78"/>
      <c r="B430" s="78"/>
      <c r="C430" s="78"/>
      <c r="D430" s="106"/>
      <c r="E430" s="107"/>
      <c r="F430" s="107"/>
      <c r="G430" s="107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</row>
    <row r="431">
      <c r="A431" s="78"/>
      <c r="B431" s="78"/>
      <c r="C431" s="78"/>
      <c r="D431" s="106"/>
      <c r="E431" s="107"/>
      <c r="F431" s="107"/>
      <c r="G431" s="107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</row>
    <row r="432">
      <c r="A432" s="78"/>
      <c r="B432" s="78"/>
      <c r="C432" s="78"/>
      <c r="D432" s="106"/>
      <c r="E432" s="107"/>
      <c r="F432" s="107"/>
      <c r="G432" s="107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</row>
    <row r="433">
      <c r="A433" s="78"/>
      <c r="B433" s="78"/>
      <c r="C433" s="78"/>
      <c r="D433" s="106"/>
      <c r="E433" s="107"/>
      <c r="F433" s="107"/>
      <c r="G433" s="107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</row>
    <row r="434">
      <c r="A434" s="78"/>
      <c r="B434" s="78"/>
      <c r="C434" s="78"/>
      <c r="D434" s="106"/>
      <c r="E434" s="107"/>
      <c r="F434" s="107"/>
      <c r="G434" s="107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</row>
    <row r="435">
      <c r="A435" s="78"/>
      <c r="B435" s="78"/>
      <c r="C435" s="78"/>
      <c r="D435" s="106"/>
      <c r="E435" s="107"/>
      <c r="F435" s="107"/>
      <c r="G435" s="107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</row>
    <row r="436">
      <c r="A436" s="78"/>
      <c r="B436" s="78"/>
      <c r="C436" s="78"/>
      <c r="D436" s="106"/>
      <c r="E436" s="107"/>
      <c r="F436" s="107"/>
      <c r="G436" s="107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</row>
    <row r="437">
      <c r="A437" s="78"/>
      <c r="B437" s="78"/>
      <c r="C437" s="78"/>
      <c r="D437" s="106"/>
      <c r="E437" s="107"/>
      <c r="F437" s="107"/>
      <c r="G437" s="107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</row>
    <row r="438">
      <c r="A438" s="78"/>
      <c r="B438" s="78"/>
      <c r="C438" s="78"/>
      <c r="D438" s="106"/>
      <c r="E438" s="107"/>
      <c r="F438" s="107"/>
      <c r="G438" s="107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</row>
    <row r="439">
      <c r="A439" s="78"/>
      <c r="B439" s="78"/>
      <c r="C439" s="78"/>
      <c r="D439" s="106"/>
      <c r="E439" s="107"/>
      <c r="F439" s="107"/>
      <c r="G439" s="107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</row>
    <row r="440">
      <c r="A440" s="78"/>
      <c r="B440" s="78"/>
      <c r="C440" s="78"/>
      <c r="D440" s="106"/>
      <c r="E440" s="107"/>
      <c r="F440" s="107"/>
      <c r="G440" s="107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</row>
    <row r="441">
      <c r="A441" s="78"/>
      <c r="B441" s="78"/>
      <c r="C441" s="78"/>
      <c r="D441" s="106"/>
      <c r="E441" s="107"/>
      <c r="F441" s="107"/>
      <c r="G441" s="107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</row>
    <row r="442">
      <c r="A442" s="78"/>
      <c r="B442" s="78"/>
      <c r="C442" s="78"/>
      <c r="D442" s="106"/>
      <c r="E442" s="107"/>
      <c r="F442" s="107"/>
      <c r="G442" s="107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</row>
    <row r="443">
      <c r="A443" s="78"/>
      <c r="B443" s="78"/>
      <c r="C443" s="78"/>
      <c r="D443" s="106"/>
      <c r="E443" s="107"/>
      <c r="F443" s="107"/>
      <c r="G443" s="107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</row>
    <row r="444">
      <c r="A444" s="78"/>
      <c r="B444" s="78"/>
      <c r="C444" s="78"/>
      <c r="D444" s="106"/>
      <c r="E444" s="107"/>
      <c r="F444" s="107"/>
      <c r="G444" s="107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</row>
    <row r="445">
      <c r="A445" s="78"/>
      <c r="B445" s="78"/>
      <c r="C445" s="78"/>
      <c r="D445" s="106"/>
      <c r="E445" s="107"/>
      <c r="F445" s="107"/>
      <c r="G445" s="107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</row>
    <row r="446">
      <c r="A446" s="78"/>
      <c r="B446" s="78"/>
      <c r="C446" s="78"/>
      <c r="D446" s="106"/>
      <c r="E446" s="107"/>
      <c r="F446" s="107"/>
      <c r="G446" s="107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</row>
    <row r="447">
      <c r="A447" s="78"/>
      <c r="B447" s="78"/>
      <c r="C447" s="78"/>
      <c r="D447" s="106"/>
      <c r="E447" s="107"/>
      <c r="F447" s="107"/>
      <c r="G447" s="107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</row>
    <row r="448">
      <c r="A448" s="78"/>
      <c r="B448" s="78"/>
      <c r="C448" s="78"/>
      <c r="D448" s="106"/>
      <c r="E448" s="107"/>
      <c r="F448" s="107"/>
      <c r="G448" s="107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</row>
    <row r="449">
      <c r="A449" s="78"/>
      <c r="B449" s="78"/>
      <c r="C449" s="78"/>
      <c r="D449" s="106"/>
      <c r="E449" s="107"/>
      <c r="F449" s="107"/>
      <c r="G449" s="107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</row>
    <row r="450">
      <c r="A450" s="78"/>
      <c r="B450" s="78"/>
      <c r="C450" s="78"/>
      <c r="D450" s="106"/>
      <c r="E450" s="107"/>
      <c r="F450" s="107"/>
      <c r="G450" s="107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</row>
    <row r="451">
      <c r="A451" s="78"/>
      <c r="B451" s="78"/>
      <c r="C451" s="78"/>
      <c r="D451" s="106"/>
      <c r="E451" s="107"/>
      <c r="F451" s="107"/>
      <c r="G451" s="107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</row>
    <row r="452">
      <c r="A452" s="78"/>
      <c r="B452" s="78"/>
      <c r="C452" s="78"/>
      <c r="D452" s="106"/>
      <c r="E452" s="107"/>
      <c r="F452" s="107"/>
      <c r="G452" s="107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</row>
    <row r="453">
      <c r="A453" s="78"/>
      <c r="B453" s="78"/>
      <c r="C453" s="78"/>
      <c r="D453" s="106"/>
      <c r="E453" s="107"/>
      <c r="F453" s="107"/>
      <c r="G453" s="107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</row>
    <row r="454">
      <c r="A454" s="78"/>
      <c r="B454" s="78"/>
      <c r="C454" s="78"/>
      <c r="D454" s="106"/>
      <c r="E454" s="107"/>
      <c r="F454" s="107"/>
      <c r="G454" s="107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</row>
    <row r="455">
      <c r="A455" s="78"/>
      <c r="B455" s="78"/>
      <c r="C455" s="78"/>
      <c r="D455" s="106"/>
      <c r="E455" s="107"/>
      <c r="F455" s="107"/>
      <c r="G455" s="107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</row>
    <row r="456">
      <c r="A456" s="78"/>
      <c r="B456" s="78"/>
      <c r="C456" s="78"/>
      <c r="D456" s="106"/>
      <c r="E456" s="107"/>
      <c r="F456" s="107"/>
      <c r="G456" s="107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</row>
    <row r="457">
      <c r="A457" s="78"/>
      <c r="B457" s="78"/>
      <c r="C457" s="78"/>
      <c r="D457" s="106"/>
      <c r="E457" s="107"/>
      <c r="F457" s="107"/>
      <c r="G457" s="107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</row>
    <row r="458">
      <c r="A458" s="78"/>
      <c r="B458" s="78"/>
      <c r="C458" s="78"/>
      <c r="D458" s="106"/>
      <c r="E458" s="107"/>
      <c r="F458" s="107"/>
      <c r="G458" s="107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</row>
    <row r="459">
      <c r="A459" s="78"/>
      <c r="B459" s="78"/>
      <c r="C459" s="78"/>
      <c r="D459" s="106"/>
      <c r="E459" s="107"/>
      <c r="F459" s="107"/>
      <c r="G459" s="107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</row>
    <row r="460">
      <c r="A460" s="78"/>
      <c r="B460" s="78"/>
      <c r="C460" s="78"/>
      <c r="D460" s="106"/>
      <c r="E460" s="107"/>
      <c r="F460" s="107"/>
      <c r="G460" s="107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</row>
    <row r="461">
      <c r="A461" s="78"/>
      <c r="B461" s="78"/>
      <c r="C461" s="78"/>
      <c r="D461" s="106"/>
      <c r="E461" s="107"/>
      <c r="F461" s="107"/>
      <c r="G461" s="107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</row>
    <row r="462">
      <c r="A462" s="78"/>
      <c r="B462" s="78"/>
      <c r="C462" s="78"/>
      <c r="D462" s="106"/>
      <c r="E462" s="107"/>
      <c r="F462" s="107"/>
      <c r="G462" s="107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</row>
    <row r="463">
      <c r="A463" s="78"/>
      <c r="B463" s="78"/>
      <c r="C463" s="78"/>
      <c r="D463" s="106"/>
      <c r="E463" s="107"/>
      <c r="F463" s="107"/>
      <c r="G463" s="107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</row>
    <row r="464">
      <c r="A464" s="78"/>
      <c r="B464" s="78"/>
      <c r="C464" s="78"/>
      <c r="D464" s="106"/>
      <c r="E464" s="107"/>
      <c r="F464" s="107"/>
      <c r="G464" s="107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</row>
    <row r="465">
      <c r="A465" s="78"/>
      <c r="B465" s="78"/>
      <c r="C465" s="78"/>
      <c r="D465" s="106"/>
      <c r="E465" s="107"/>
      <c r="F465" s="107"/>
      <c r="G465" s="107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</row>
    <row r="466">
      <c r="A466" s="78"/>
      <c r="B466" s="78"/>
      <c r="C466" s="78"/>
      <c r="D466" s="106"/>
      <c r="E466" s="107"/>
      <c r="F466" s="107"/>
      <c r="G466" s="107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</row>
    <row r="467">
      <c r="A467" s="78"/>
      <c r="B467" s="78"/>
      <c r="C467" s="78"/>
      <c r="D467" s="106"/>
      <c r="E467" s="107"/>
      <c r="F467" s="107"/>
      <c r="G467" s="107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</row>
    <row r="468">
      <c r="A468" s="78"/>
      <c r="B468" s="78"/>
      <c r="C468" s="78"/>
      <c r="D468" s="106"/>
      <c r="E468" s="107"/>
      <c r="F468" s="107"/>
      <c r="G468" s="107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</row>
    <row r="469">
      <c r="A469" s="78"/>
      <c r="B469" s="78"/>
      <c r="C469" s="78"/>
      <c r="D469" s="106"/>
      <c r="E469" s="107"/>
      <c r="F469" s="107"/>
      <c r="G469" s="107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</row>
    <row r="470">
      <c r="A470" s="78"/>
      <c r="B470" s="78"/>
      <c r="C470" s="78"/>
      <c r="D470" s="106"/>
      <c r="E470" s="107"/>
      <c r="F470" s="107"/>
      <c r="G470" s="107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</row>
    <row r="471">
      <c r="A471" s="78"/>
      <c r="B471" s="78"/>
      <c r="C471" s="78"/>
      <c r="D471" s="106"/>
      <c r="E471" s="107"/>
      <c r="F471" s="107"/>
      <c r="G471" s="107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</row>
    <row r="472">
      <c r="A472" s="78"/>
      <c r="B472" s="78"/>
      <c r="C472" s="78"/>
      <c r="D472" s="106"/>
      <c r="E472" s="107"/>
      <c r="F472" s="107"/>
      <c r="G472" s="107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</row>
    <row r="473">
      <c r="A473" s="78"/>
      <c r="B473" s="78"/>
      <c r="C473" s="78"/>
      <c r="D473" s="106"/>
      <c r="E473" s="107"/>
      <c r="F473" s="107"/>
      <c r="G473" s="107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</row>
    <row r="474">
      <c r="A474" s="78"/>
      <c r="B474" s="78"/>
      <c r="C474" s="78"/>
      <c r="D474" s="106"/>
      <c r="E474" s="107"/>
      <c r="F474" s="107"/>
      <c r="G474" s="107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</row>
    <row r="475">
      <c r="A475" s="78"/>
      <c r="B475" s="78"/>
      <c r="C475" s="78"/>
      <c r="D475" s="106"/>
      <c r="E475" s="107"/>
      <c r="F475" s="107"/>
      <c r="G475" s="107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</row>
    <row r="476">
      <c r="A476" s="78"/>
      <c r="B476" s="78"/>
      <c r="C476" s="78"/>
      <c r="D476" s="106"/>
      <c r="E476" s="107"/>
      <c r="F476" s="107"/>
      <c r="G476" s="107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</row>
    <row r="477">
      <c r="A477" s="78"/>
      <c r="B477" s="78"/>
      <c r="C477" s="78"/>
      <c r="D477" s="106"/>
      <c r="E477" s="107"/>
      <c r="F477" s="107"/>
      <c r="G477" s="107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</row>
    <row r="478">
      <c r="A478" s="78"/>
      <c r="B478" s="78"/>
      <c r="C478" s="78"/>
      <c r="D478" s="106"/>
      <c r="E478" s="107"/>
      <c r="F478" s="107"/>
      <c r="G478" s="107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</row>
    <row r="479">
      <c r="A479" s="78"/>
      <c r="B479" s="78"/>
      <c r="C479" s="78"/>
      <c r="D479" s="106"/>
      <c r="E479" s="107"/>
      <c r="F479" s="107"/>
      <c r="G479" s="107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</row>
    <row r="480">
      <c r="A480" s="78"/>
      <c r="B480" s="78"/>
      <c r="C480" s="78"/>
      <c r="D480" s="106"/>
      <c r="E480" s="107"/>
      <c r="F480" s="107"/>
      <c r="G480" s="107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</row>
    <row r="481">
      <c r="A481" s="78"/>
      <c r="B481" s="78"/>
      <c r="C481" s="78"/>
      <c r="D481" s="106"/>
      <c r="E481" s="107"/>
      <c r="F481" s="107"/>
      <c r="G481" s="107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</row>
    <row r="482">
      <c r="A482" s="78"/>
      <c r="B482" s="78"/>
      <c r="C482" s="78"/>
      <c r="D482" s="106"/>
      <c r="E482" s="107"/>
      <c r="F482" s="107"/>
      <c r="G482" s="107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</row>
    <row r="483">
      <c r="A483" s="78"/>
      <c r="B483" s="78"/>
      <c r="C483" s="78"/>
      <c r="D483" s="106"/>
      <c r="E483" s="107"/>
      <c r="F483" s="107"/>
      <c r="G483" s="107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</row>
    <row r="484">
      <c r="A484" s="78"/>
      <c r="B484" s="78"/>
      <c r="C484" s="78"/>
      <c r="D484" s="106"/>
      <c r="E484" s="107"/>
      <c r="F484" s="107"/>
      <c r="G484" s="107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</row>
    <row r="485">
      <c r="A485" s="78"/>
      <c r="B485" s="78"/>
      <c r="C485" s="78"/>
      <c r="D485" s="106"/>
      <c r="E485" s="107"/>
      <c r="F485" s="107"/>
      <c r="G485" s="107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</row>
    <row r="486">
      <c r="A486" s="78"/>
      <c r="B486" s="78"/>
      <c r="C486" s="78"/>
      <c r="D486" s="106"/>
      <c r="E486" s="107"/>
      <c r="F486" s="107"/>
      <c r="G486" s="107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</row>
    <row r="487">
      <c r="A487" s="78"/>
      <c r="B487" s="78"/>
      <c r="C487" s="78"/>
      <c r="D487" s="106"/>
      <c r="E487" s="107"/>
      <c r="F487" s="107"/>
      <c r="G487" s="107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</row>
    <row r="488">
      <c r="A488" s="78"/>
      <c r="B488" s="78"/>
      <c r="C488" s="78"/>
      <c r="D488" s="106"/>
      <c r="E488" s="107"/>
      <c r="F488" s="107"/>
      <c r="G488" s="107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</row>
    <row r="489">
      <c r="A489" s="78"/>
      <c r="B489" s="78"/>
      <c r="C489" s="78"/>
      <c r="D489" s="106"/>
      <c r="E489" s="107"/>
      <c r="F489" s="107"/>
      <c r="G489" s="107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</row>
    <row r="490">
      <c r="A490" s="78"/>
      <c r="B490" s="78"/>
      <c r="C490" s="78"/>
      <c r="D490" s="106"/>
      <c r="E490" s="107"/>
      <c r="F490" s="107"/>
      <c r="G490" s="107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</row>
    <row r="491">
      <c r="A491" s="78"/>
      <c r="B491" s="78"/>
      <c r="C491" s="78"/>
      <c r="D491" s="106"/>
      <c r="E491" s="107"/>
      <c r="F491" s="107"/>
      <c r="G491" s="107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</row>
    <row r="492">
      <c r="A492" s="78"/>
      <c r="B492" s="78"/>
      <c r="C492" s="78"/>
      <c r="D492" s="106"/>
      <c r="E492" s="107"/>
      <c r="F492" s="107"/>
      <c r="G492" s="107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</row>
    <row r="493">
      <c r="A493" s="78"/>
      <c r="B493" s="78"/>
      <c r="C493" s="78"/>
      <c r="D493" s="106"/>
      <c r="E493" s="107"/>
      <c r="F493" s="107"/>
      <c r="G493" s="107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</row>
    <row r="494">
      <c r="A494" s="78"/>
      <c r="B494" s="78"/>
      <c r="C494" s="78"/>
      <c r="D494" s="106"/>
      <c r="E494" s="107"/>
      <c r="F494" s="107"/>
      <c r="G494" s="107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</row>
    <row r="495">
      <c r="A495" s="78"/>
      <c r="B495" s="78"/>
      <c r="C495" s="78"/>
      <c r="D495" s="106"/>
      <c r="E495" s="107"/>
      <c r="F495" s="107"/>
      <c r="G495" s="107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</row>
    <row r="496">
      <c r="A496" s="78"/>
      <c r="B496" s="78"/>
      <c r="C496" s="78"/>
      <c r="D496" s="106"/>
      <c r="E496" s="107"/>
      <c r="F496" s="107"/>
      <c r="G496" s="107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</row>
    <row r="497">
      <c r="A497" s="78"/>
      <c r="B497" s="78"/>
      <c r="C497" s="78"/>
      <c r="D497" s="106"/>
      <c r="E497" s="107"/>
      <c r="F497" s="107"/>
      <c r="G497" s="107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</row>
    <row r="498">
      <c r="A498" s="78"/>
      <c r="B498" s="78"/>
      <c r="C498" s="78"/>
      <c r="D498" s="106"/>
      <c r="E498" s="107"/>
      <c r="F498" s="107"/>
      <c r="G498" s="107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</row>
    <row r="499">
      <c r="A499" s="78"/>
      <c r="B499" s="78"/>
      <c r="C499" s="78"/>
      <c r="D499" s="106"/>
      <c r="E499" s="107"/>
      <c r="F499" s="107"/>
      <c r="G499" s="107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</row>
    <row r="500">
      <c r="A500" s="78"/>
      <c r="B500" s="78"/>
      <c r="C500" s="78"/>
      <c r="D500" s="106"/>
      <c r="E500" s="107"/>
      <c r="F500" s="107"/>
      <c r="G500" s="107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</row>
    <row r="501">
      <c r="A501" s="78"/>
      <c r="B501" s="78"/>
      <c r="C501" s="78"/>
      <c r="D501" s="106"/>
      <c r="E501" s="107"/>
      <c r="F501" s="107"/>
      <c r="G501" s="107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</row>
    <row r="502">
      <c r="A502" s="78"/>
      <c r="B502" s="78"/>
      <c r="C502" s="78"/>
      <c r="D502" s="106"/>
      <c r="E502" s="107"/>
      <c r="F502" s="107"/>
      <c r="G502" s="107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</row>
    <row r="503">
      <c r="A503" s="78"/>
      <c r="B503" s="78"/>
      <c r="C503" s="78"/>
      <c r="D503" s="106"/>
      <c r="E503" s="107"/>
      <c r="F503" s="107"/>
      <c r="G503" s="107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</row>
    <row r="504">
      <c r="A504" s="78"/>
      <c r="B504" s="78"/>
      <c r="C504" s="78"/>
      <c r="D504" s="106"/>
      <c r="E504" s="107"/>
      <c r="F504" s="107"/>
      <c r="G504" s="107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</row>
    <row r="505">
      <c r="A505" s="78"/>
      <c r="B505" s="78"/>
      <c r="C505" s="78"/>
      <c r="D505" s="106"/>
      <c r="E505" s="107"/>
      <c r="F505" s="107"/>
      <c r="G505" s="107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</row>
    <row r="506">
      <c r="A506" s="78"/>
      <c r="B506" s="78"/>
      <c r="C506" s="78"/>
      <c r="D506" s="106"/>
      <c r="E506" s="107"/>
      <c r="F506" s="107"/>
      <c r="G506" s="107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</row>
    <row r="507">
      <c r="A507" s="78"/>
      <c r="B507" s="78"/>
      <c r="C507" s="78"/>
      <c r="D507" s="106"/>
      <c r="E507" s="107"/>
      <c r="F507" s="107"/>
      <c r="G507" s="107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</row>
    <row r="508">
      <c r="A508" s="78"/>
      <c r="B508" s="78"/>
      <c r="C508" s="78"/>
      <c r="D508" s="106"/>
      <c r="E508" s="107"/>
      <c r="F508" s="107"/>
      <c r="G508" s="107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</row>
    <row r="509">
      <c r="A509" s="78"/>
      <c r="B509" s="78"/>
      <c r="C509" s="78"/>
      <c r="D509" s="106"/>
      <c r="E509" s="107"/>
      <c r="F509" s="107"/>
      <c r="G509" s="107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</row>
    <row r="510">
      <c r="A510" s="78"/>
      <c r="B510" s="78"/>
      <c r="C510" s="78"/>
      <c r="D510" s="106"/>
      <c r="E510" s="107"/>
      <c r="F510" s="107"/>
      <c r="G510" s="107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</row>
    <row r="511">
      <c r="A511" s="78"/>
      <c r="B511" s="78"/>
      <c r="C511" s="78"/>
      <c r="D511" s="106"/>
      <c r="E511" s="107"/>
      <c r="F511" s="107"/>
      <c r="G511" s="107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</row>
    <row r="512">
      <c r="A512" s="78"/>
      <c r="B512" s="78"/>
      <c r="C512" s="78"/>
      <c r="D512" s="106"/>
      <c r="E512" s="107"/>
      <c r="F512" s="107"/>
      <c r="G512" s="107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</row>
    <row r="513">
      <c r="A513" s="78"/>
      <c r="B513" s="78"/>
      <c r="C513" s="78"/>
      <c r="D513" s="106"/>
      <c r="E513" s="107"/>
      <c r="F513" s="107"/>
      <c r="G513" s="107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</row>
    <row r="514">
      <c r="A514" s="78"/>
      <c r="B514" s="78"/>
      <c r="C514" s="78"/>
      <c r="D514" s="106"/>
      <c r="E514" s="107"/>
      <c r="F514" s="107"/>
      <c r="G514" s="107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</row>
    <row r="515">
      <c r="A515" s="78"/>
      <c r="B515" s="78"/>
      <c r="C515" s="78"/>
      <c r="D515" s="106"/>
      <c r="E515" s="107"/>
      <c r="F515" s="107"/>
      <c r="G515" s="107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</row>
    <row r="516">
      <c r="A516" s="78"/>
      <c r="B516" s="78"/>
      <c r="C516" s="78"/>
      <c r="D516" s="106"/>
      <c r="E516" s="107"/>
      <c r="F516" s="107"/>
      <c r="G516" s="107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</row>
    <row r="517">
      <c r="A517" s="78"/>
      <c r="B517" s="78"/>
      <c r="C517" s="78"/>
      <c r="D517" s="106"/>
      <c r="E517" s="107"/>
      <c r="F517" s="107"/>
      <c r="G517" s="107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</row>
    <row r="518">
      <c r="A518" s="78"/>
      <c r="B518" s="78"/>
      <c r="C518" s="78"/>
      <c r="D518" s="106"/>
      <c r="E518" s="107"/>
      <c r="F518" s="107"/>
      <c r="G518" s="107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</row>
    <row r="519">
      <c r="A519" s="78"/>
      <c r="B519" s="78"/>
      <c r="C519" s="78"/>
      <c r="D519" s="106"/>
      <c r="E519" s="107"/>
      <c r="F519" s="107"/>
      <c r="G519" s="107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</row>
    <row r="520">
      <c r="A520" s="78"/>
      <c r="B520" s="78"/>
      <c r="C520" s="78"/>
      <c r="D520" s="106"/>
      <c r="E520" s="107"/>
      <c r="F520" s="107"/>
      <c r="G520" s="107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</row>
    <row r="521">
      <c r="A521" s="78"/>
      <c r="B521" s="78"/>
      <c r="C521" s="78"/>
      <c r="D521" s="106"/>
      <c r="E521" s="107"/>
      <c r="F521" s="107"/>
      <c r="G521" s="107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</row>
    <row r="522">
      <c r="A522" s="78"/>
      <c r="B522" s="78"/>
      <c r="C522" s="78"/>
      <c r="D522" s="106"/>
      <c r="E522" s="107"/>
      <c r="F522" s="107"/>
      <c r="G522" s="107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</row>
    <row r="523">
      <c r="A523" s="78"/>
      <c r="B523" s="78"/>
      <c r="C523" s="78"/>
      <c r="D523" s="106"/>
      <c r="E523" s="107"/>
      <c r="F523" s="107"/>
      <c r="G523" s="107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</row>
    <row r="524">
      <c r="A524" s="78"/>
      <c r="B524" s="78"/>
      <c r="C524" s="78"/>
      <c r="D524" s="106"/>
      <c r="E524" s="107"/>
      <c r="F524" s="107"/>
      <c r="G524" s="107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</row>
    <row r="525">
      <c r="A525" s="78"/>
      <c r="B525" s="78"/>
      <c r="C525" s="78"/>
      <c r="D525" s="106"/>
      <c r="E525" s="107"/>
      <c r="F525" s="107"/>
      <c r="G525" s="107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</row>
    <row r="526">
      <c r="A526" s="78"/>
      <c r="B526" s="78"/>
      <c r="C526" s="78"/>
      <c r="D526" s="106"/>
      <c r="E526" s="107"/>
      <c r="F526" s="107"/>
      <c r="G526" s="107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</row>
    <row r="527">
      <c r="A527" s="78"/>
      <c r="B527" s="78"/>
      <c r="C527" s="78"/>
      <c r="D527" s="106"/>
      <c r="E527" s="107"/>
      <c r="F527" s="107"/>
      <c r="G527" s="107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</row>
    <row r="528">
      <c r="A528" s="78"/>
      <c r="B528" s="78"/>
      <c r="C528" s="78"/>
      <c r="D528" s="106"/>
      <c r="E528" s="107"/>
      <c r="F528" s="107"/>
      <c r="G528" s="107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</row>
    <row r="529">
      <c r="A529" s="78"/>
      <c r="B529" s="78"/>
      <c r="C529" s="78"/>
      <c r="D529" s="106"/>
      <c r="E529" s="107"/>
      <c r="F529" s="107"/>
      <c r="G529" s="107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</row>
    <row r="530">
      <c r="A530" s="78"/>
      <c r="B530" s="78"/>
      <c r="C530" s="78"/>
      <c r="D530" s="106"/>
      <c r="E530" s="107"/>
      <c r="F530" s="107"/>
      <c r="G530" s="107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</row>
    <row r="531">
      <c r="A531" s="78"/>
      <c r="B531" s="78"/>
      <c r="C531" s="78"/>
      <c r="D531" s="106"/>
      <c r="E531" s="107"/>
      <c r="F531" s="107"/>
      <c r="G531" s="107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</row>
    <row r="532">
      <c r="A532" s="78"/>
      <c r="B532" s="78"/>
      <c r="C532" s="78"/>
      <c r="D532" s="106"/>
      <c r="E532" s="107"/>
      <c r="F532" s="107"/>
      <c r="G532" s="107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</row>
    <row r="533">
      <c r="A533" s="78"/>
      <c r="B533" s="78"/>
      <c r="C533" s="78"/>
      <c r="D533" s="106"/>
      <c r="E533" s="107"/>
      <c r="F533" s="107"/>
      <c r="G533" s="107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</row>
    <row r="534">
      <c r="A534" s="78"/>
      <c r="B534" s="78"/>
      <c r="C534" s="78"/>
      <c r="D534" s="106"/>
      <c r="E534" s="107"/>
      <c r="F534" s="107"/>
      <c r="G534" s="107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</row>
    <row r="535">
      <c r="A535" s="78"/>
      <c r="B535" s="78"/>
      <c r="C535" s="78"/>
      <c r="D535" s="106"/>
      <c r="E535" s="107"/>
      <c r="F535" s="107"/>
      <c r="G535" s="107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</row>
    <row r="536">
      <c r="A536" s="78"/>
      <c r="B536" s="78"/>
      <c r="C536" s="78"/>
      <c r="D536" s="106"/>
      <c r="E536" s="107"/>
      <c r="F536" s="107"/>
      <c r="G536" s="107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</row>
    <row r="537">
      <c r="A537" s="78"/>
      <c r="B537" s="78"/>
      <c r="C537" s="78"/>
      <c r="D537" s="106"/>
      <c r="E537" s="107"/>
      <c r="F537" s="107"/>
      <c r="G537" s="107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</row>
    <row r="538">
      <c r="A538" s="78"/>
      <c r="B538" s="78"/>
      <c r="C538" s="78"/>
      <c r="D538" s="106"/>
      <c r="E538" s="107"/>
      <c r="F538" s="107"/>
      <c r="G538" s="107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</row>
    <row r="539">
      <c r="A539" s="78"/>
      <c r="B539" s="78"/>
      <c r="C539" s="78"/>
      <c r="D539" s="106"/>
      <c r="E539" s="107"/>
      <c r="F539" s="107"/>
      <c r="G539" s="107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</row>
    <row r="540">
      <c r="A540" s="78"/>
      <c r="B540" s="78"/>
      <c r="C540" s="78"/>
      <c r="D540" s="106"/>
      <c r="E540" s="107"/>
      <c r="F540" s="107"/>
      <c r="G540" s="107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</row>
    <row r="541">
      <c r="A541" s="78"/>
      <c r="B541" s="78"/>
      <c r="C541" s="78"/>
      <c r="D541" s="106"/>
      <c r="E541" s="107"/>
      <c r="F541" s="107"/>
      <c r="G541" s="107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</row>
    <row r="542">
      <c r="A542" s="78"/>
      <c r="B542" s="78"/>
      <c r="C542" s="78"/>
      <c r="D542" s="106"/>
      <c r="E542" s="107"/>
      <c r="F542" s="107"/>
      <c r="G542" s="107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</row>
    <row r="543">
      <c r="A543" s="78"/>
      <c r="B543" s="78"/>
      <c r="C543" s="78"/>
      <c r="D543" s="106"/>
      <c r="E543" s="107"/>
      <c r="F543" s="107"/>
      <c r="G543" s="107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</row>
    <row r="544">
      <c r="A544" s="78"/>
      <c r="B544" s="78"/>
      <c r="C544" s="78"/>
      <c r="D544" s="106"/>
      <c r="E544" s="107"/>
      <c r="F544" s="107"/>
      <c r="G544" s="107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</row>
    <row r="545">
      <c r="A545" s="78"/>
      <c r="B545" s="78"/>
      <c r="C545" s="78"/>
      <c r="D545" s="106"/>
      <c r="E545" s="107"/>
      <c r="F545" s="107"/>
      <c r="G545" s="107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</row>
    <row r="546">
      <c r="A546" s="78"/>
      <c r="B546" s="78"/>
      <c r="C546" s="78"/>
      <c r="D546" s="106"/>
      <c r="E546" s="107"/>
      <c r="F546" s="107"/>
      <c r="G546" s="107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</row>
    <row r="547">
      <c r="A547" s="78"/>
      <c r="B547" s="78"/>
      <c r="C547" s="78"/>
      <c r="D547" s="106"/>
      <c r="E547" s="107"/>
      <c r="F547" s="107"/>
      <c r="G547" s="107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</row>
    <row r="548">
      <c r="A548" s="78"/>
      <c r="B548" s="78"/>
      <c r="C548" s="78"/>
      <c r="D548" s="106"/>
      <c r="E548" s="107"/>
      <c r="F548" s="107"/>
      <c r="G548" s="107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</row>
    <row r="549">
      <c r="A549" s="78"/>
      <c r="B549" s="78"/>
      <c r="C549" s="78"/>
      <c r="D549" s="106"/>
      <c r="E549" s="107"/>
      <c r="F549" s="107"/>
      <c r="G549" s="107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</row>
    <row r="550">
      <c r="A550" s="78"/>
      <c r="B550" s="78"/>
      <c r="C550" s="78"/>
      <c r="D550" s="106"/>
      <c r="E550" s="107"/>
      <c r="F550" s="107"/>
      <c r="G550" s="107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</row>
    <row r="551">
      <c r="A551" s="78"/>
      <c r="B551" s="78"/>
      <c r="C551" s="78"/>
      <c r="D551" s="106"/>
      <c r="E551" s="107"/>
      <c r="F551" s="107"/>
      <c r="G551" s="107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</row>
    <row r="552">
      <c r="A552" s="78"/>
      <c r="B552" s="78"/>
      <c r="C552" s="78"/>
      <c r="D552" s="106"/>
      <c r="E552" s="107"/>
      <c r="F552" s="107"/>
      <c r="G552" s="107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</row>
    <row r="553">
      <c r="A553" s="78"/>
      <c r="B553" s="78"/>
      <c r="C553" s="78"/>
      <c r="D553" s="106"/>
      <c r="E553" s="107"/>
      <c r="F553" s="107"/>
      <c r="G553" s="107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</row>
    <row r="554">
      <c r="A554" s="78"/>
      <c r="B554" s="78"/>
      <c r="C554" s="78"/>
      <c r="D554" s="106"/>
      <c r="E554" s="107"/>
      <c r="F554" s="107"/>
      <c r="G554" s="107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</row>
    <row r="555">
      <c r="A555" s="78"/>
      <c r="B555" s="78"/>
      <c r="C555" s="78"/>
      <c r="D555" s="106"/>
      <c r="E555" s="107"/>
      <c r="F555" s="107"/>
      <c r="G555" s="107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</row>
    <row r="556">
      <c r="A556" s="78"/>
      <c r="B556" s="78"/>
      <c r="C556" s="78"/>
      <c r="D556" s="106"/>
      <c r="E556" s="107"/>
      <c r="F556" s="107"/>
      <c r="G556" s="107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</row>
    <row r="557">
      <c r="A557" s="78"/>
      <c r="B557" s="78"/>
      <c r="C557" s="78"/>
      <c r="D557" s="106"/>
      <c r="E557" s="107"/>
      <c r="F557" s="107"/>
      <c r="G557" s="107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</row>
    <row r="558">
      <c r="A558" s="78"/>
      <c r="B558" s="78"/>
      <c r="C558" s="78"/>
      <c r="D558" s="106"/>
      <c r="E558" s="107"/>
      <c r="F558" s="107"/>
      <c r="G558" s="107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</row>
    <row r="559">
      <c r="A559" s="78"/>
      <c r="B559" s="78"/>
      <c r="C559" s="78"/>
      <c r="D559" s="106"/>
      <c r="E559" s="107"/>
      <c r="F559" s="107"/>
      <c r="G559" s="107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</row>
    <row r="560">
      <c r="A560" s="78"/>
      <c r="B560" s="78"/>
      <c r="C560" s="78"/>
      <c r="D560" s="106"/>
      <c r="E560" s="107"/>
      <c r="F560" s="107"/>
      <c r="G560" s="107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</row>
    <row r="561">
      <c r="A561" s="78"/>
      <c r="B561" s="78"/>
      <c r="C561" s="78"/>
      <c r="D561" s="106"/>
      <c r="E561" s="107"/>
      <c r="F561" s="107"/>
      <c r="G561" s="107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</row>
    <row r="562">
      <c r="A562" s="78"/>
      <c r="B562" s="78"/>
      <c r="C562" s="78"/>
      <c r="D562" s="106"/>
      <c r="E562" s="107"/>
      <c r="F562" s="107"/>
      <c r="G562" s="107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</row>
    <row r="563">
      <c r="A563" s="78"/>
      <c r="B563" s="78"/>
      <c r="C563" s="78"/>
      <c r="D563" s="106"/>
      <c r="E563" s="107"/>
      <c r="F563" s="107"/>
      <c r="G563" s="107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</row>
    <row r="564">
      <c r="A564" s="78"/>
      <c r="B564" s="78"/>
      <c r="C564" s="78"/>
      <c r="D564" s="106"/>
      <c r="E564" s="107"/>
      <c r="F564" s="107"/>
      <c r="G564" s="107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</row>
    <row r="565">
      <c r="A565" s="78"/>
      <c r="B565" s="78"/>
      <c r="C565" s="78"/>
      <c r="D565" s="106"/>
      <c r="E565" s="107"/>
      <c r="F565" s="107"/>
      <c r="G565" s="107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</row>
    <row r="566">
      <c r="A566" s="78"/>
      <c r="B566" s="78"/>
      <c r="C566" s="78"/>
      <c r="D566" s="106"/>
      <c r="E566" s="107"/>
      <c r="F566" s="107"/>
      <c r="G566" s="107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</row>
    <row r="567">
      <c r="A567" s="78"/>
      <c r="B567" s="78"/>
      <c r="C567" s="78"/>
      <c r="D567" s="106"/>
      <c r="E567" s="107"/>
      <c r="F567" s="107"/>
      <c r="G567" s="107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</row>
    <row r="568">
      <c r="A568" s="78"/>
      <c r="B568" s="78"/>
      <c r="C568" s="78"/>
      <c r="D568" s="106"/>
      <c r="E568" s="107"/>
      <c r="F568" s="107"/>
      <c r="G568" s="107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</row>
    <row r="569">
      <c r="A569" s="78"/>
      <c r="B569" s="78"/>
      <c r="C569" s="78"/>
      <c r="D569" s="106"/>
      <c r="E569" s="107"/>
      <c r="F569" s="107"/>
      <c r="G569" s="107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</row>
    <row r="570">
      <c r="A570" s="78"/>
      <c r="B570" s="78"/>
      <c r="C570" s="78"/>
      <c r="D570" s="106"/>
      <c r="E570" s="107"/>
      <c r="F570" s="107"/>
      <c r="G570" s="107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</row>
    <row r="571">
      <c r="A571" s="78"/>
      <c r="B571" s="78"/>
      <c r="C571" s="78"/>
      <c r="D571" s="106"/>
      <c r="E571" s="107"/>
      <c r="F571" s="107"/>
      <c r="G571" s="107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</row>
    <row r="572">
      <c r="A572" s="78"/>
      <c r="B572" s="78"/>
      <c r="C572" s="78"/>
      <c r="D572" s="106"/>
      <c r="E572" s="107"/>
      <c r="F572" s="107"/>
      <c r="G572" s="107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</row>
    <row r="573">
      <c r="A573" s="78"/>
      <c r="B573" s="78"/>
      <c r="C573" s="78"/>
      <c r="D573" s="106"/>
      <c r="E573" s="107"/>
      <c r="F573" s="107"/>
      <c r="G573" s="107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</row>
    <row r="574">
      <c r="A574" s="78"/>
      <c r="B574" s="78"/>
      <c r="C574" s="78"/>
      <c r="D574" s="106"/>
      <c r="E574" s="107"/>
      <c r="F574" s="107"/>
      <c r="G574" s="107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</row>
    <row r="575">
      <c r="A575" s="78"/>
      <c r="B575" s="78"/>
      <c r="C575" s="78"/>
      <c r="D575" s="106"/>
      <c r="E575" s="107"/>
      <c r="F575" s="107"/>
      <c r="G575" s="107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</row>
    <row r="576">
      <c r="A576" s="78"/>
      <c r="B576" s="78"/>
      <c r="C576" s="78"/>
      <c r="D576" s="106"/>
      <c r="E576" s="107"/>
      <c r="F576" s="107"/>
      <c r="G576" s="107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</row>
    <row r="577">
      <c r="A577" s="78"/>
      <c r="B577" s="78"/>
      <c r="C577" s="78"/>
      <c r="D577" s="106"/>
      <c r="E577" s="107"/>
      <c r="F577" s="107"/>
      <c r="G577" s="107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</row>
    <row r="578">
      <c r="A578" s="78"/>
      <c r="B578" s="78"/>
      <c r="C578" s="78"/>
      <c r="D578" s="106"/>
      <c r="E578" s="107"/>
      <c r="F578" s="107"/>
      <c r="G578" s="107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</row>
    <row r="579">
      <c r="A579" s="78"/>
      <c r="B579" s="78"/>
      <c r="C579" s="78"/>
      <c r="D579" s="106"/>
      <c r="E579" s="107"/>
      <c r="F579" s="107"/>
      <c r="G579" s="107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</row>
    <row r="580">
      <c r="A580" s="78"/>
      <c r="B580" s="78"/>
      <c r="C580" s="78"/>
      <c r="D580" s="106"/>
      <c r="E580" s="107"/>
      <c r="F580" s="107"/>
      <c r="G580" s="107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</row>
    <row r="581">
      <c r="A581" s="78"/>
      <c r="B581" s="78"/>
      <c r="C581" s="78"/>
      <c r="D581" s="106"/>
      <c r="E581" s="107"/>
      <c r="F581" s="107"/>
      <c r="G581" s="107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</row>
    <row r="582">
      <c r="A582" s="78"/>
      <c r="B582" s="78"/>
      <c r="C582" s="78"/>
      <c r="D582" s="106"/>
      <c r="E582" s="107"/>
      <c r="F582" s="107"/>
      <c r="G582" s="107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</row>
    <row r="583">
      <c r="A583" s="78"/>
      <c r="B583" s="78"/>
      <c r="C583" s="78"/>
      <c r="D583" s="106"/>
      <c r="E583" s="107"/>
      <c r="F583" s="107"/>
      <c r="G583" s="107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</row>
    <row r="584">
      <c r="A584" s="78"/>
      <c r="B584" s="78"/>
      <c r="C584" s="78"/>
      <c r="D584" s="106"/>
      <c r="E584" s="107"/>
      <c r="F584" s="107"/>
      <c r="G584" s="107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</row>
    <row r="585">
      <c r="A585" s="78"/>
      <c r="B585" s="78"/>
      <c r="C585" s="78"/>
      <c r="D585" s="106"/>
      <c r="E585" s="107"/>
      <c r="F585" s="107"/>
      <c r="G585" s="107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</row>
    <row r="586">
      <c r="A586" s="78"/>
      <c r="B586" s="78"/>
      <c r="C586" s="78"/>
      <c r="D586" s="106"/>
      <c r="E586" s="107"/>
      <c r="F586" s="107"/>
      <c r="G586" s="107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</row>
    <row r="587">
      <c r="A587" s="78"/>
      <c r="B587" s="78"/>
      <c r="C587" s="78"/>
      <c r="D587" s="106"/>
      <c r="E587" s="107"/>
      <c r="F587" s="107"/>
      <c r="G587" s="107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</row>
    <row r="588">
      <c r="A588" s="78"/>
      <c r="B588" s="78"/>
      <c r="C588" s="78"/>
      <c r="D588" s="106"/>
      <c r="E588" s="107"/>
      <c r="F588" s="107"/>
      <c r="G588" s="107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</row>
    <row r="589">
      <c r="A589" s="78"/>
      <c r="B589" s="78"/>
      <c r="C589" s="78"/>
      <c r="D589" s="106"/>
      <c r="E589" s="107"/>
      <c r="F589" s="107"/>
      <c r="G589" s="107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</row>
    <row r="590">
      <c r="A590" s="78"/>
      <c r="B590" s="78"/>
      <c r="C590" s="78"/>
      <c r="D590" s="106"/>
      <c r="E590" s="107"/>
      <c r="F590" s="107"/>
      <c r="G590" s="107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</row>
    <row r="591">
      <c r="A591" s="78"/>
      <c r="B591" s="78"/>
      <c r="C591" s="78"/>
      <c r="D591" s="106"/>
      <c r="E591" s="107"/>
      <c r="F591" s="107"/>
      <c r="G591" s="107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</row>
    <row r="592">
      <c r="A592" s="78"/>
      <c r="B592" s="78"/>
      <c r="C592" s="78"/>
      <c r="D592" s="106"/>
      <c r="E592" s="107"/>
      <c r="F592" s="107"/>
      <c r="G592" s="107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</row>
    <row r="593">
      <c r="A593" s="78"/>
      <c r="B593" s="78"/>
      <c r="C593" s="78"/>
      <c r="D593" s="106"/>
      <c r="E593" s="107"/>
      <c r="F593" s="107"/>
      <c r="G593" s="107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</row>
    <row r="594">
      <c r="A594" s="78"/>
      <c r="B594" s="78"/>
      <c r="C594" s="78"/>
      <c r="D594" s="106"/>
      <c r="E594" s="107"/>
      <c r="F594" s="107"/>
      <c r="G594" s="107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</row>
    <row r="595">
      <c r="A595" s="78"/>
      <c r="B595" s="78"/>
      <c r="C595" s="78"/>
      <c r="D595" s="106"/>
      <c r="E595" s="107"/>
      <c r="F595" s="107"/>
      <c r="G595" s="107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</row>
    <row r="596">
      <c r="A596" s="78"/>
      <c r="B596" s="78"/>
      <c r="C596" s="78"/>
      <c r="D596" s="106"/>
      <c r="E596" s="107"/>
      <c r="F596" s="107"/>
      <c r="G596" s="107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</row>
    <row r="597">
      <c r="A597" s="78"/>
      <c r="B597" s="78"/>
      <c r="C597" s="78"/>
      <c r="D597" s="106"/>
      <c r="E597" s="107"/>
      <c r="F597" s="107"/>
      <c r="G597" s="107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</row>
    <row r="598">
      <c r="A598" s="78"/>
      <c r="B598" s="78"/>
      <c r="C598" s="78"/>
      <c r="D598" s="106"/>
      <c r="E598" s="107"/>
      <c r="F598" s="107"/>
      <c r="G598" s="107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</row>
    <row r="599">
      <c r="A599" s="78"/>
      <c r="B599" s="78"/>
      <c r="C599" s="78"/>
      <c r="D599" s="106"/>
      <c r="E599" s="107"/>
      <c r="F599" s="107"/>
      <c r="G599" s="107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</row>
    <row r="600">
      <c r="A600" s="78"/>
      <c r="B600" s="78"/>
      <c r="C600" s="78"/>
      <c r="D600" s="106"/>
      <c r="E600" s="107"/>
      <c r="F600" s="107"/>
      <c r="G600" s="107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</row>
    <row r="601">
      <c r="A601" s="78"/>
      <c r="B601" s="78"/>
      <c r="C601" s="78"/>
      <c r="D601" s="106"/>
      <c r="E601" s="107"/>
      <c r="F601" s="107"/>
      <c r="G601" s="107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</row>
    <row r="602">
      <c r="A602" s="78"/>
      <c r="B602" s="78"/>
      <c r="C602" s="78"/>
      <c r="D602" s="106"/>
      <c r="E602" s="107"/>
      <c r="F602" s="107"/>
      <c r="G602" s="107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</row>
    <row r="603">
      <c r="A603" s="78"/>
      <c r="B603" s="78"/>
      <c r="C603" s="78"/>
      <c r="D603" s="106"/>
      <c r="E603" s="107"/>
      <c r="F603" s="107"/>
      <c r="G603" s="107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</row>
    <row r="604">
      <c r="A604" s="78"/>
      <c r="B604" s="78"/>
      <c r="C604" s="78"/>
      <c r="D604" s="106"/>
      <c r="E604" s="107"/>
      <c r="F604" s="107"/>
      <c r="G604" s="107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</row>
    <row r="605">
      <c r="A605" s="78"/>
      <c r="B605" s="78"/>
      <c r="C605" s="78"/>
      <c r="D605" s="106"/>
      <c r="E605" s="107"/>
      <c r="F605" s="107"/>
      <c r="G605" s="107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</row>
    <row r="606">
      <c r="A606" s="78"/>
      <c r="B606" s="78"/>
      <c r="C606" s="78"/>
      <c r="D606" s="106"/>
      <c r="E606" s="107"/>
      <c r="F606" s="107"/>
      <c r="G606" s="107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</row>
    <row r="607">
      <c r="A607" s="78"/>
      <c r="B607" s="78"/>
      <c r="C607" s="78"/>
      <c r="D607" s="106"/>
      <c r="E607" s="107"/>
      <c r="F607" s="107"/>
      <c r="G607" s="107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</row>
    <row r="608">
      <c r="A608" s="78"/>
      <c r="B608" s="78"/>
      <c r="C608" s="78"/>
      <c r="D608" s="106"/>
      <c r="E608" s="107"/>
      <c r="F608" s="107"/>
      <c r="G608" s="107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</row>
    <row r="609">
      <c r="A609" s="78"/>
      <c r="B609" s="78"/>
      <c r="C609" s="78"/>
      <c r="D609" s="106"/>
      <c r="E609" s="107"/>
      <c r="F609" s="107"/>
      <c r="G609" s="107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</row>
    <row r="610">
      <c r="A610" s="78"/>
      <c r="B610" s="78"/>
      <c r="C610" s="78"/>
      <c r="D610" s="106"/>
      <c r="E610" s="107"/>
      <c r="F610" s="107"/>
      <c r="G610" s="107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</row>
    <row r="611">
      <c r="A611" s="78"/>
      <c r="B611" s="78"/>
      <c r="C611" s="78"/>
      <c r="D611" s="106"/>
      <c r="E611" s="107"/>
      <c r="F611" s="107"/>
      <c r="G611" s="107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</row>
    <row r="612">
      <c r="A612" s="78"/>
      <c r="B612" s="78"/>
      <c r="C612" s="78"/>
      <c r="D612" s="106"/>
      <c r="E612" s="107"/>
      <c r="F612" s="107"/>
      <c r="G612" s="107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</row>
    <row r="613">
      <c r="A613" s="78"/>
      <c r="B613" s="78"/>
      <c r="C613" s="78"/>
      <c r="D613" s="106"/>
      <c r="E613" s="107"/>
      <c r="F613" s="107"/>
      <c r="G613" s="107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</row>
    <row r="614">
      <c r="A614" s="78"/>
      <c r="B614" s="78"/>
      <c r="C614" s="78"/>
      <c r="D614" s="106"/>
      <c r="E614" s="107"/>
      <c r="F614" s="107"/>
      <c r="G614" s="107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</row>
    <row r="615">
      <c r="A615" s="78"/>
      <c r="B615" s="78"/>
      <c r="C615" s="78"/>
      <c r="D615" s="106"/>
      <c r="E615" s="107"/>
      <c r="F615" s="107"/>
      <c r="G615" s="107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</row>
    <row r="616">
      <c r="A616" s="78"/>
      <c r="B616" s="78"/>
      <c r="C616" s="78"/>
      <c r="D616" s="106"/>
      <c r="E616" s="107"/>
      <c r="F616" s="107"/>
      <c r="G616" s="107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</row>
    <row r="617">
      <c r="A617" s="78"/>
      <c r="B617" s="78"/>
      <c r="C617" s="78"/>
      <c r="D617" s="106"/>
      <c r="E617" s="107"/>
      <c r="F617" s="107"/>
      <c r="G617" s="107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</row>
    <row r="618">
      <c r="A618" s="78"/>
      <c r="B618" s="78"/>
      <c r="C618" s="78"/>
      <c r="D618" s="106"/>
      <c r="E618" s="107"/>
      <c r="F618" s="107"/>
      <c r="G618" s="107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</row>
    <row r="619">
      <c r="A619" s="78"/>
      <c r="B619" s="78"/>
      <c r="C619" s="78"/>
      <c r="D619" s="106"/>
      <c r="E619" s="107"/>
      <c r="F619" s="107"/>
      <c r="G619" s="107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</row>
    <row r="620">
      <c r="A620" s="78"/>
      <c r="B620" s="78"/>
      <c r="C620" s="78"/>
      <c r="D620" s="106"/>
      <c r="E620" s="107"/>
      <c r="F620" s="107"/>
      <c r="G620" s="107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</row>
    <row r="621">
      <c r="A621" s="78"/>
      <c r="B621" s="78"/>
      <c r="C621" s="78"/>
      <c r="D621" s="106"/>
      <c r="E621" s="107"/>
      <c r="F621" s="107"/>
      <c r="G621" s="107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</row>
    <row r="622">
      <c r="A622" s="78"/>
      <c r="B622" s="78"/>
      <c r="C622" s="78"/>
      <c r="D622" s="106"/>
      <c r="E622" s="107"/>
      <c r="F622" s="107"/>
      <c r="G622" s="107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</row>
    <row r="623">
      <c r="A623" s="78"/>
      <c r="B623" s="78"/>
      <c r="C623" s="78"/>
      <c r="D623" s="106"/>
      <c r="E623" s="107"/>
      <c r="F623" s="107"/>
      <c r="G623" s="107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</row>
    <row r="624">
      <c r="A624" s="78"/>
      <c r="B624" s="78"/>
      <c r="C624" s="78"/>
      <c r="D624" s="106"/>
      <c r="E624" s="107"/>
      <c r="F624" s="107"/>
      <c r="G624" s="107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</row>
    <row r="625">
      <c r="A625" s="78"/>
      <c r="B625" s="78"/>
      <c r="C625" s="78"/>
      <c r="D625" s="106"/>
      <c r="E625" s="107"/>
      <c r="F625" s="107"/>
      <c r="G625" s="107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</row>
    <row r="626">
      <c r="A626" s="78"/>
      <c r="B626" s="78"/>
      <c r="C626" s="78"/>
      <c r="D626" s="106"/>
      <c r="E626" s="107"/>
      <c r="F626" s="107"/>
      <c r="G626" s="107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</row>
    <row r="627">
      <c r="A627" s="78"/>
      <c r="B627" s="78"/>
      <c r="C627" s="78"/>
      <c r="D627" s="106"/>
      <c r="E627" s="107"/>
      <c r="F627" s="107"/>
      <c r="G627" s="107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</row>
    <row r="628">
      <c r="A628" s="78"/>
      <c r="B628" s="78"/>
      <c r="C628" s="78"/>
      <c r="D628" s="106"/>
      <c r="E628" s="107"/>
      <c r="F628" s="107"/>
      <c r="G628" s="107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</row>
    <row r="629">
      <c r="A629" s="78"/>
      <c r="B629" s="78"/>
      <c r="C629" s="78"/>
      <c r="D629" s="106"/>
      <c r="E629" s="107"/>
      <c r="F629" s="107"/>
      <c r="G629" s="107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</row>
    <row r="630">
      <c r="A630" s="78"/>
      <c r="B630" s="78"/>
      <c r="C630" s="78"/>
      <c r="D630" s="106"/>
      <c r="E630" s="107"/>
      <c r="F630" s="107"/>
      <c r="G630" s="107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</row>
    <row r="631">
      <c r="A631" s="78"/>
      <c r="B631" s="78"/>
      <c r="C631" s="78"/>
      <c r="D631" s="106"/>
      <c r="E631" s="107"/>
      <c r="F631" s="107"/>
      <c r="G631" s="107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</row>
    <row r="632">
      <c r="A632" s="78"/>
      <c r="B632" s="78"/>
      <c r="C632" s="78"/>
      <c r="D632" s="106"/>
      <c r="E632" s="107"/>
      <c r="F632" s="107"/>
      <c r="G632" s="107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</row>
    <row r="633">
      <c r="A633" s="78"/>
      <c r="B633" s="78"/>
      <c r="C633" s="78"/>
      <c r="D633" s="106"/>
      <c r="E633" s="107"/>
      <c r="F633" s="107"/>
      <c r="G633" s="107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</row>
    <row r="634">
      <c r="A634" s="78"/>
      <c r="B634" s="78"/>
      <c r="C634" s="78"/>
      <c r="D634" s="106"/>
      <c r="E634" s="107"/>
      <c r="F634" s="107"/>
      <c r="G634" s="107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</row>
    <row r="635">
      <c r="A635" s="78"/>
      <c r="B635" s="78"/>
      <c r="C635" s="78"/>
      <c r="D635" s="106"/>
      <c r="E635" s="107"/>
      <c r="F635" s="107"/>
      <c r="G635" s="107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</row>
    <row r="636">
      <c r="A636" s="78"/>
      <c r="B636" s="78"/>
      <c r="C636" s="78"/>
      <c r="D636" s="106"/>
      <c r="E636" s="107"/>
      <c r="F636" s="107"/>
      <c r="G636" s="107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</row>
    <row r="637">
      <c r="A637" s="78"/>
      <c r="B637" s="78"/>
      <c r="C637" s="78"/>
      <c r="D637" s="106"/>
      <c r="E637" s="107"/>
      <c r="F637" s="107"/>
      <c r="G637" s="107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</row>
    <row r="638">
      <c r="A638" s="78"/>
      <c r="B638" s="78"/>
      <c r="C638" s="78"/>
      <c r="D638" s="106"/>
      <c r="E638" s="107"/>
      <c r="F638" s="107"/>
      <c r="G638" s="107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</row>
    <row r="639">
      <c r="A639" s="78"/>
      <c r="B639" s="78"/>
      <c r="C639" s="78"/>
      <c r="D639" s="106"/>
      <c r="E639" s="107"/>
      <c r="F639" s="107"/>
      <c r="G639" s="107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</row>
    <row r="640">
      <c r="A640" s="78"/>
      <c r="B640" s="78"/>
      <c r="C640" s="78"/>
      <c r="D640" s="106"/>
      <c r="E640" s="107"/>
      <c r="F640" s="107"/>
      <c r="G640" s="107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</row>
    <row r="641">
      <c r="A641" s="78"/>
      <c r="B641" s="78"/>
      <c r="C641" s="78"/>
      <c r="D641" s="106"/>
      <c r="E641" s="107"/>
      <c r="F641" s="107"/>
      <c r="G641" s="107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</row>
    <row r="642">
      <c r="A642" s="78"/>
      <c r="B642" s="78"/>
      <c r="C642" s="78"/>
      <c r="D642" s="106"/>
      <c r="E642" s="107"/>
      <c r="F642" s="107"/>
      <c r="G642" s="107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</row>
    <row r="643">
      <c r="A643" s="78"/>
      <c r="B643" s="78"/>
      <c r="C643" s="78"/>
      <c r="D643" s="106"/>
      <c r="E643" s="107"/>
      <c r="F643" s="107"/>
      <c r="G643" s="107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</row>
    <row r="644">
      <c r="A644" s="78"/>
      <c r="B644" s="78"/>
      <c r="C644" s="78"/>
      <c r="D644" s="106"/>
      <c r="E644" s="107"/>
      <c r="F644" s="107"/>
      <c r="G644" s="107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</row>
    <row r="645">
      <c r="A645" s="78"/>
      <c r="B645" s="78"/>
      <c r="C645" s="78"/>
      <c r="D645" s="106"/>
      <c r="E645" s="107"/>
      <c r="F645" s="107"/>
      <c r="G645" s="107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</row>
    <row r="646">
      <c r="A646" s="78"/>
      <c r="B646" s="78"/>
      <c r="C646" s="78"/>
      <c r="D646" s="106"/>
      <c r="E646" s="107"/>
      <c r="F646" s="107"/>
      <c r="G646" s="107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</row>
    <row r="647">
      <c r="A647" s="78"/>
      <c r="B647" s="78"/>
      <c r="C647" s="78"/>
      <c r="D647" s="106"/>
      <c r="E647" s="107"/>
      <c r="F647" s="107"/>
      <c r="G647" s="107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</row>
    <row r="648">
      <c r="A648" s="78"/>
      <c r="B648" s="78"/>
      <c r="C648" s="78"/>
      <c r="D648" s="106"/>
      <c r="E648" s="107"/>
      <c r="F648" s="107"/>
      <c r="G648" s="107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</row>
    <row r="649">
      <c r="A649" s="78"/>
      <c r="B649" s="78"/>
      <c r="C649" s="78"/>
      <c r="D649" s="106"/>
      <c r="E649" s="107"/>
      <c r="F649" s="107"/>
      <c r="G649" s="107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</row>
    <row r="650">
      <c r="A650" s="78"/>
      <c r="B650" s="78"/>
      <c r="C650" s="78"/>
      <c r="D650" s="106"/>
      <c r="E650" s="107"/>
      <c r="F650" s="107"/>
      <c r="G650" s="107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</row>
    <row r="651">
      <c r="A651" s="78"/>
      <c r="B651" s="78"/>
      <c r="C651" s="78"/>
      <c r="D651" s="106"/>
      <c r="E651" s="107"/>
      <c r="F651" s="107"/>
      <c r="G651" s="107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</row>
    <row r="652">
      <c r="A652" s="78"/>
      <c r="B652" s="78"/>
      <c r="C652" s="78"/>
      <c r="D652" s="106"/>
      <c r="E652" s="107"/>
      <c r="F652" s="107"/>
      <c r="G652" s="107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</row>
    <row r="653">
      <c r="A653" s="78"/>
      <c r="B653" s="78"/>
      <c r="C653" s="78"/>
      <c r="D653" s="106"/>
      <c r="E653" s="107"/>
      <c r="F653" s="107"/>
      <c r="G653" s="107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</row>
    <row r="654">
      <c r="A654" s="78"/>
      <c r="B654" s="78"/>
      <c r="C654" s="78"/>
      <c r="D654" s="106"/>
      <c r="E654" s="107"/>
      <c r="F654" s="107"/>
      <c r="G654" s="107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</row>
    <row r="655">
      <c r="A655" s="78"/>
      <c r="B655" s="78"/>
      <c r="C655" s="78"/>
      <c r="D655" s="106"/>
      <c r="E655" s="107"/>
      <c r="F655" s="107"/>
      <c r="G655" s="107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</row>
    <row r="656">
      <c r="A656" s="78"/>
      <c r="B656" s="78"/>
      <c r="C656" s="78"/>
      <c r="D656" s="106"/>
      <c r="E656" s="107"/>
      <c r="F656" s="107"/>
      <c r="G656" s="107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</row>
    <row r="657">
      <c r="A657" s="78"/>
      <c r="B657" s="78"/>
      <c r="C657" s="78"/>
      <c r="D657" s="106"/>
      <c r="E657" s="107"/>
      <c r="F657" s="107"/>
      <c r="G657" s="107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</row>
    <row r="658">
      <c r="A658" s="78"/>
      <c r="B658" s="78"/>
      <c r="C658" s="78"/>
      <c r="D658" s="106"/>
      <c r="E658" s="107"/>
      <c r="F658" s="107"/>
      <c r="G658" s="107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</row>
    <row r="659">
      <c r="A659" s="78"/>
      <c r="B659" s="78"/>
      <c r="C659" s="78"/>
      <c r="D659" s="106"/>
      <c r="E659" s="107"/>
      <c r="F659" s="107"/>
      <c r="G659" s="107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</row>
    <row r="660">
      <c r="A660" s="78"/>
      <c r="B660" s="78"/>
      <c r="C660" s="78"/>
      <c r="D660" s="106"/>
      <c r="E660" s="107"/>
      <c r="F660" s="107"/>
      <c r="G660" s="107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</row>
    <row r="661">
      <c r="A661" s="78"/>
      <c r="B661" s="78"/>
      <c r="C661" s="78"/>
      <c r="D661" s="106"/>
      <c r="E661" s="107"/>
      <c r="F661" s="107"/>
      <c r="G661" s="107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</row>
    <row r="662">
      <c r="A662" s="78"/>
      <c r="B662" s="78"/>
      <c r="C662" s="78"/>
      <c r="D662" s="106"/>
      <c r="E662" s="107"/>
      <c r="F662" s="107"/>
      <c r="G662" s="107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</row>
    <row r="663">
      <c r="A663" s="78"/>
      <c r="B663" s="78"/>
      <c r="C663" s="78"/>
      <c r="D663" s="106"/>
      <c r="E663" s="107"/>
      <c r="F663" s="107"/>
      <c r="G663" s="107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</row>
    <row r="664">
      <c r="A664" s="78"/>
      <c r="B664" s="78"/>
      <c r="C664" s="78"/>
      <c r="D664" s="106"/>
      <c r="E664" s="107"/>
      <c r="F664" s="107"/>
      <c r="G664" s="107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</row>
    <row r="665">
      <c r="A665" s="78"/>
      <c r="B665" s="78"/>
      <c r="C665" s="78"/>
      <c r="D665" s="106"/>
      <c r="E665" s="107"/>
      <c r="F665" s="107"/>
      <c r="G665" s="107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</row>
    <row r="666">
      <c r="A666" s="78"/>
      <c r="B666" s="78"/>
      <c r="C666" s="78"/>
      <c r="D666" s="106"/>
      <c r="E666" s="107"/>
      <c r="F666" s="107"/>
      <c r="G666" s="107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</row>
    <row r="667">
      <c r="A667" s="78"/>
      <c r="B667" s="78"/>
      <c r="C667" s="78"/>
      <c r="D667" s="106"/>
      <c r="E667" s="107"/>
      <c r="F667" s="107"/>
      <c r="G667" s="107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</row>
    <row r="668">
      <c r="A668" s="78"/>
      <c r="B668" s="78"/>
      <c r="C668" s="78"/>
      <c r="D668" s="106"/>
      <c r="E668" s="107"/>
      <c r="F668" s="107"/>
      <c r="G668" s="107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</row>
    <row r="669">
      <c r="A669" s="78"/>
      <c r="B669" s="78"/>
      <c r="C669" s="78"/>
      <c r="D669" s="106"/>
      <c r="E669" s="107"/>
      <c r="F669" s="107"/>
      <c r="G669" s="107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</row>
    <row r="670">
      <c r="A670" s="78"/>
      <c r="B670" s="78"/>
      <c r="C670" s="78"/>
      <c r="D670" s="106"/>
      <c r="E670" s="107"/>
      <c r="F670" s="107"/>
      <c r="G670" s="107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</row>
    <row r="671">
      <c r="A671" s="78"/>
      <c r="B671" s="78"/>
      <c r="C671" s="78"/>
      <c r="D671" s="106"/>
      <c r="E671" s="107"/>
      <c r="F671" s="107"/>
      <c r="G671" s="107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</row>
    <row r="672">
      <c r="A672" s="78"/>
      <c r="B672" s="78"/>
      <c r="C672" s="78"/>
      <c r="D672" s="106"/>
      <c r="E672" s="107"/>
      <c r="F672" s="107"/>
      <c r="G672" s="107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</row>
    <row r="673">
      <c r="A673" s="78"/>
      <c r="B673" s="78"/>
      <c r="C673" s="78"/>
      <c r="D673" s="106"/>
      <c r="E673" s="107"/>
      <c r="F673" s="107"/>
      <c r="G673" s="107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</row>
    <row r="674">
      <c r="A674" s="78"/>
      <c r="B674" s="78"/>
      <c r="C674" s="78"/>
      <c r="D674" s="106"/>
      <c r="E674" s="107"/>
      <c r="F674" s="107"/>
      <c r="G674" s="107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</row>
    <row r="675">
      <c r="A675" s="78"/>
      <c r="B675" s="78"/>
      <c r="C675" s="78"/>
      <c r="D675" s="106"/>
      <c r="E675" s="107"/>
      <c r="F675" s="107"/>
      <c r="G675" s="107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</row>
    <row r="676">
      <c r="A676" s="78"/>
      <c r="B676" s="78"/>
      <c r="C676" s="78"/>
      <c r="D676" s="106"/>
      <c r="E676" s="107"/>
      <c r="F676" s="107"/>
      <c r="G676" s="107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</row>
    <row r="677">
      <c r="A677" s="78"/>
      <c r="B677" s="78"/>
      <c r="C677" s="78"/>
      <c r="D677" s="106"/>
      <c r="E677" s="107"/>
      <c r="F677" s="107"/>
      <c r="G677" s="107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</row>
    <row r="678">
      <c r="A678" s="78"/>
      <c r="B678" s="78"/>
      <c r="C678" s="78"/>
      <c r="D678" s="106"/>
      <c r="E678" s="107"/>
      <c r="F678" s="107"/>
      <c r="G678" s="107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</row>
    <row r="679">
      <c r="A679" s="78"/>
      <c r="B679" s="78"/>
      <c r="C679" s="78"/>
      <c r="D679" s="106"/>
      <c r="E679" s="107"/>
      <c r="F679" s="107"/>
      <c r="G679" s="107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</row>
    <row r="680">
      <c r="A680" s="78"/>
      <c r="B680" s="78"/>
      <c r="C680" s="78"/>
      <c r="D680" s="106"/>
      <c r="E680" s="107"/>
      <c r="F680" s="107"/>
      <c r="G680" s="107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</row>
    <row r="681">
      <c r="A681" s="78"/>
      <c r="B681" s="78"/>
      <c r="C681" s="78"/>
      <c r="D681" s="106"/>
      <c r="E681" s="107"/>
      <c r="F681" s="107"/>
      <c r="G681" s="107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</row>
    <row r="682">
      <c r="A682" s="78"/>
      <c r="B682" s="78"/>
      <c r="C682" s="78"/>
      <c r="D682" s="106"/>
      <c r="E682" s="107"/>
      <c r="F682" s="107"/>
      <c r="G682" s="107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</row>
    <row r="683">
      <c r="A683" s="78"/>
      <c r="B683" s="78"/>
      <c r="C683" s="78"/>
      <c r="D683" s="106"/>
      <c r="E683" s="107"/>
      <c r="F683" s="107"/>
      <c r="G683" s="107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</row>
    <row r="684">
      <c r="A684" s="78"/>
      <c r="B684" s="78"/>
      <c r="C684" s="78"/>
      <c r="D684" s="106"/>
      <c r="E684" s="107"/>
      <c r="F684" s="107"/>
      <c r="G684" s="107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</row>
    <row r="685">
      <c r="A685" s="78"/>
      <c r="B685" s="78"/>
      <c r="C685" s="78"/>
      <c r="D685" s="106"/>
      <c r="E685" s="107"/>
      <c r="F685" s="107"/>
      <c r="G685" s="107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</row>
    <row r="686">
      <c r="A686" s="78"/>
      <c r="B686" s="78"/>
      <c r="C686" s="78"/>
      <c r="D686" s="106"/>
      <c r="E686" s="107"/>
      <c r="F686" s="107"/>
      <c r="G686" s="107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</row>
    <row r="687">
      <c r="A687" s="78"/>
      <c r="B687" s="78"/>
      <c r="C687" s="78"/>
      <c r="D687" s="106"/>
      <c r="E687" s="107"/>
      <c r="F687" s="107"/>
      <c r="G687" s="107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</row>
    <row r="688">
      <c r="A688" s="78"/>
      <c r="B688" s="78"/>
      <c r="C688" s="78"/>
      <c r="D688" s="106"/>
      <c r="E688" s="107"/>
      <c r="F688" s="107"/>
      <c r="G688" s="107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</row>
    <row r="689">
      <c r="A689" s="78"/>
      <c r="B689" s="78"/>
      <c r="C689" s="78"/>
      <c r="D689" s="106"/>
      <c r="E689" s="107"/>
      <c r="F689" s="107"/>
      <c r="G689" s="107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</row>
    <row r="690">
      <c r="A690" s="78"/>
      <c r="B690" s="78"/>
      <c r="C690" s="78"/>
      <c r="D690" s="106"/>
      <c r="E690" s="107"/>
      <c r="F690" s="107"/>
      <c r="G690" s="107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</row>
    <row r="691">
      <c r="A691" s="78"/>
      <c r="B691" s="78"/>
      <c r="C691" s="78"/>
      <c r="D691" s="106"/>
      <c r="E691" s="107"/>
      <c r="F691" s="107"/>
      <c r="G691" s="107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</row>
    <row r="692">
      <c r="A692" s="78"/>
      <c r="B692" s="78"/>
      <c r="C692" s="78"/>
      <c r="D692" s="106"/>
      <c r="E692" s="107"/>
      <c r="F692" s="107"/>
      <c r="G692" s="107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</row>
    <row r="693">
      <c r="A693" s="78"/>
      <c r="B693" s="78"/>
      <c r="C693" s="78"/>
      <c r="D693" s="106"/>
      <c r="E693" s="107"/>
      <c r="F693" s="107"/>
      <c r="G693" s="107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</row>
    <row r="694">
      <c r="A694" s="78"/>
      <c r="B694" s="78"/>
      <c r="C694" s="78"/>
      <c r="D694" s="106"/>
      <c r="E694" s="107"/>
      <c r="F694" s="107"/>
      <c r="G694" s="107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</row>
    <row r="695">
      <c r="A695" s="78"/>
      <c r="B695" s="78"/>
      <c r="C695" s="78"/>
      <c r="D695" s="106"/>
      <c r="E695" s="107"/>
      <c r="F695" s="107"/>
      <c r="G695" s="107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</row>
    <row r="696">
      <c r="A696" s="78"/>
      <c r="B696" s="78"/>
      <c r="C696" s="78"/>
      <c r="D696" s="106"/>
      <c r="E696" s="107"/>
      <c r="F696" s="107"/>
      <c r="G696" s="107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</row>
    <row r="697">
      <c r="A697" s="78"/>
      <c r="B697" s="78"/>
      <c r="C697" s="78"/>
      <c r="D697" s="106"/>
      <c r="E697" s="107"/>
      <c r="F697" s="107"/>
      <c r="G697" s="107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</row>
    <row r="698">
      <c r="A698" s="78"/>
      <c r="B698" s="78"/>
      <c r="C698" s="78"/>
      <c r="D698" s="106"/>
      <c r="E698" s="107"/>
      <c r="F698" s="107"/>
      <c r="G698" s="107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</row>
    <row r="699">
      <c r="A699" s="78"/>
      <c r="B699" s="78"/>
      <c r="C699" s="78"/>
      <c r="D699" s="106"/>
      <c r="E699" s="107"/>
      <c r="F699" s="107"/>
      <c r="G699" s="107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</row>
    <row r="700">
      <c r="A700" s="78"/>
      <c r="B700" s="78"/>
      <c r="C700" s="78"/>
      <c r="D700" s="106"/>
      <c r="E700" s="107"/>
      <c r="F700" s="107"/>
      <c r="G700" s="107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</row>
    <row r="701">
      <c r="A701" s="78"/>
      <c r="B701" s="78"/>
      <c r="C701" s="78"/>
      <c r="D701" s="106"/>
      <c r="E701" s="107"/>
      <c r="F701" s="107"/>
      <c r="G701" s="107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</row>
    <row r="702">
      <c r="A702" s="78"/>
      <c r="B702" s="78"/>
      <c r="C702" s="78"/>
      <c r="D702" s="106"/>
      <c r="E702" s="107"/>
      <c r="F702" s="107"/>
      <c r="G702" s="107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</row>
    <row r="703">
      <c r="A703" s="78"/>
      <c r="B703" s="78"/>
      <c r="C703" s="78"/>
      <c r="D703" s="106"/>
      <c r="E703" s="107"/>
      <c r="F703" s="107"/>
      <c r="G703" s="107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</row>
    <row r="704">
      <c r="A704" s="78"/>
      <c r="B704" s="78"/>
      <c r="C704" s="78"/>
      <c r="D704" s="106"/>
      <c r="E704" s="107"/>
      <c r="F704" s="107"/>
      <c r="G704" s="107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</row>
    <row r="705">
      <c r="A705" s="78"/>
      <c r="B705" s="78"/>
      <c r="C705" s="78"/>
      <c r="D705" s="106"/>
      <c r="E705" s="107"/>
      <c r="F705" s="107"/>
      <c r="G705" s="107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</row>
    <row r="706">
      <c r="A706" s="78"/>
      <c r="B706" s="78"/>
      <c r="C706" s="78"/>
      <c r="D706" s="106"/>
      <c r="E706" s="107"/>
      <c r="F706" s="107"/>
      <c r="G706" s="107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</row>
    <row r="707">
      <c r="A707" s="78"/>
      <c r="B707" s="78"/>
      <c r="C707" s="78"/>
      <c r="D707" s="106"/>
      <c r="E707" s="107"/>
      <c r="F707" s="107"/>
      <c r="G707" s="107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</row>
    <row r="708">
      <c r="A708" s="78"/>
      <c r="B708" s="78"/>
      <c r="C708" s="78"/>
      <c r="D708" s="106"/>
      <c r="E708" s="107"/>
      <c r="F708" s="107"/>
      <c r="G708" s="107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</row>
    <row r="709">
      <c r="A709" s="78"/>
      <c r="B709" s="78"/>
      <c r="C709" s="78"/>
      <c r="D709" s="106"/>
      <c r="E709" s="107"/>
      <c r="F709" s="107"/>
      <c r="G709" s="107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</row>
    <row r="710">
      <c r="A710" s="78"/>
      <c r="B710" s="78"/>
      <c r="C710" s="78"/>
      <c r="D710" s="106"/>
      <c r="E710" s="107"/>
      <c r="F710" s="107"/>
      <c r="G710" s="107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</row>
    <row r="711">
      <c r="A711" s="78"/>
      <c r="B711" s="78"/>
      <c r="C711" s="78"/>
      <c r="D711" s="106"/>
      <c r="E711" s="107"/>
      <c r="F711" s="107"/>
      <c r="G711" s="107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</row>
    <row r="712">
      <c r="A712" s="78"/>
      <c r="B712" s="78"/>
      <c r="C712" s="78"/>
      <c r="D712" s="106"/>
      <c r="E712" s="107"/>
      <c r="F712" s="107"/>
      <c r="G712" s="107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</row>
    <row r="713">
      <c r="A713" s="78"/>
      <c r="B713" s="78"/>
      <c r="C713" s="78"/>
      <c r="D713" s="106"/>
      <c r="E713" s="107"/>
      <c r="F713" s="107"/>
      <c r="G713" s="107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</row>
    <row r="714">
      <c r="A714" s="78"/>
      <c r="B714" s="78"/>
      <c r="C714" s="78"/>
      <c r="D714" s="106"/>
      <c r="E714" s="107"/>
      <c r="F714" s="107"/>
      <c r="G714" s="107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</row>
    <row r="715">
      <c r="A715" s="78"/>
      <c r="B715" s="78"/>
      <c r="C715" s="78"/>
      <c r="D715" s="106"/>
      <c r="E715" s="107"/>
      <c r="F715" s="107"/>
      <c r="G715" s="107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</row>
    <row r="716">
      <c r="A716" s="78"/>
      <c r="B716" s="78"/>
      <c r="C716" s="78"/>
      <c r="D716" s="106"/>
      <c r="E716" s="107"/>
      <c r="F716" s="107"/>
      <c r="G716" s="107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</row>
    <row r="717">
      <c r="A717" s="78"/>
      <c r="B717" s="78"/>
      <c r="C717" s="78"/>
      <c r="D717" s="106"/>
      <c r="E717" s="107"/>
      <c r="F717" s="107"/>
      <c r="G717" s="107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</row>
    <row r="718">
      <c r="A718" s="78"/>
      <c r="B718" s="78"/>
      <c r="C718" s="78"/>
      <c r="D718" s="106"/>
      <c r="E718" s="107"/>
      <c r="F718" s="107"/>
      <c r="G718" s="107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</row>
    <row r="719">
      <c r="A719" s="78"/>
      <c r="B719" s="78"/>
      <c r="C719" s="78"/>
      <c r="D719" s="106"/>
      <c r="E719" s="107"/>
      <c r="F719" s="107"/>
      <c r="G719" s="107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</row>
    <row r="720">
      <c r="A720" s="78"/>
      <c r="B720" s="78"/>
      <c r="C720" s="78"/>
      <c r="D720" s="106"/>
      <c r="E720" s="107"/>
      <c r="F720" s="107"/>
      <c r="G720" s="107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</row>
    <row r="721">
      <c r="A721" s="78"/>
      <c r="B721" s="78"/>
      <c r="C721" s="78"/>
      <c r="D721" s="106"/>
      <c r="E721" s="107"/>
      <c r="F721" s="107"/>
      <c r="G721" s="107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</row>
    <row r="722">
      <c r="A722" s="78"/>
      <c r="B722" s="78"/>
      <c r="C722" s="78"/>
      <c r="D722" s="106"/>
      <c r="E722" s="107"/>
      <c r="F722" s="107"/>
      <c r="G722" s="107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</row>
    <row r="723">
      <c r="A723" s="78"/>
      <c r="B723" s="78"/>
      <c r="C723" s="78"/>
      <c r="D723" s="106"/>
      <c r="E723" s="107"/>
      <c r="F723" s="107"/>
      <c r="G723" s="107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</row>
    <row r="724">
      <c r="A724" s="78"/>
      <c r="B724" s="78"/>
      <c r="C724" s="78"/>
      <c r="D724" s="106"/>
      <c r="E724" s="107"/>
      <c r="F724" s="107"/>
      <c r="G724" s="107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</row>
    <row r="725">
      <c r="A725" s="78"/>
      <c r="B725" s="78"/>
      <c r="C725" s="78"/>
      <c r="D725" s="106"/>
      <c r="E725" s="107"/>
      <c r="F725" s="107"/>
      <c r="G725" s="107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</row>
    <row r="726">
      <c r="A726" s="78"/>
      <c r="B726" s="78"/>
      <c r="C726" s="78"/>
      <c r="D726" s="106"/>
      <c r="E726" s="107"/>
      <c r="F726" s="107"/>
      <c r="G726" s="107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</row>
    <row r="727">
      <c r="A727" s="78"/>
      <c r="B727" s="78"/>
      <c r="C727" s="78"/>
      <c r="D727" s="106"/>
      <c r="E727" s="107"/>
      <c r="F727" s="107"/>
      <c r="G727" s="107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</row>
    <row r="728">
      <c r="A728" s="78"/>
      <c r="B728" s="78"/>
      <c r="C728" s="78"/>
      <c r="D728" s="106"/>
      <c r="E728" s="107"/>
      <c r="F728" s="107"/>
      <c r="G728" s="107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</row>
    <row r="729">
      <c r="A729" s="78"/>
      <c r="B729" s="78"/>
      <c r="C729" s="78"/>
      <c r="D729" s="106"/>
      <c r="E729" s="107"/>
      <c r="F729" s="107"/>
      <c r="G729" s="107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</row>
    <row r="730">
      <c r="A730" s="78"/>
      <c r="B730" s="78"/>
      <c r="C730" s="78"/>
      <c r="D730" s="106"/>
      <c r="E730" s="107"/>
      <c r="F730" s="107"/>
      <c r="G730" s="107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</row>
    <row r="731">
      <c r="A731" s="78"/>
      <c r="B731" s="78"/>
      <c r="C731" s="78"/>
      <c r="D731" s="106"/>
      <c r="E731" s="107"/>
      <c r="F731" s="107"/>
      <c r="G731" s="107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</row>
    <row r="732">
      <c r="A732" s="78"/>
      <c r="B732" s="78"/>
      <c r="C732" s="78"/>
      <c r="D732" s="106"/>
      <c r="E732" s="107"/>
      <c r="F732" s="107"/>
      <c r="G732" s="107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</row>
    <row r="733">
      <c r="A733" s="78"/>
      <c r="B733" s="78"/>
      <c r="C733" s="78"/>
      <c r="D733" s="106"/>
      <c r="E733" s="107"/>
      <c r="F733" s="107"/>
      <c r="G733" s="107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</row>
    <row r="734">
      <c r="A734" s="78"/>
      <c r="B734" s="78"/>
      <c r="C734" s="78"/>
      <c r="D734" s="106"/>
      <c r="E734" s="107"/>
      <c r="F734" s="107"/>
      <c r="G734" s="107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</row>
    <row r="735">
      <c r="A735" s="78"/>
      <c r="B735" s="78"/>
      <c r="C735" s="78"/>
      <c r="D735" s="106"/>
      <c r="E735" s="107"/>
      <c r="F735" s="107"/>
      <c r="G735" s="107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</row>
    <row r="736">
      <c r="A736" s="78"/>
      <c r="B736" s="78"/>
      <c r="C736" s="78"/>
      <c r="D736" s="106"/>
      <c r="E736" s="107"/>
      <c r="F736" s="107"/>
      <c r="G736" s="107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</row>
    <row r="737">
      <c r="A737" s="78"/>
      <c r="B737" s="78"/>
      <c r="C737" s="78"/>
      <c r="D737" s="106"/>
      <c r="E737" s="107"/>
      <c r="F737" s="107"/>
      <c r="G737" s="107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</row>
    <row r="738">
      <c r="A738" s="78"/>
      <c r="B738" s="78"/>
      <c r="C738" s="78"/>
      <c r="D738" s="106"/>
      <c r="E738" s="107"/>
      <c r="F738" s="107"/>
      <c r="G738" s="107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</row>
    <row r="739">
      <c r="A739" s="78"/>
      <c r="B739" s="78"/>
      <c r="C739" s="78"/>
      <c r="D739" s="106"/>
      <c r="E739" s="107"/>
      <c r="F739" s="107"/>
      <c r="G739" s="107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</row>
    <row r="740">
      <c r="A740" s="78"/>
      <c r="B740" s="78"/>
      <c r="C740" s="78"/>
      <c r="D740" s="106"/>
      <c r="E740" s="107"/>
      <c r="F740" s="107"/>
      <c r="G740" s="107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</row>
    <row r="741">
      <c r="A741" s="78"/>
      <c r="B741" s="78"/>
      <c r="C741" s="78"/>
      <c r="D741" s="106"/>
      <c r="E741" s="107"/>
      <c r="F741" s="107"/>
      <c r="G741" s="107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</row>
    <row r="742">
      <c r="A742" s="78"/>
      <c r="B742" s="78"/>
      <c r="C742" s="78"/>
      <c r="D742" s="106"/>
      <c r="E742" s="107"/>
      <c r="F742" s="107"/>
      <c r="G742" s="107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</row>
    <row r="743">
      <c r="A743" s="78"/>
      <c r="B743" s="78"/>
      <c r="C743" s="78"/>
      <c r="D743" s="106"/>
      <c r="E743" s="107"/>
      <c r="F743" s="107"/>
      <c r="G743" s="107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</row>
    <row r="744">
      <c r="A744" s="78"/>
      <c r="B744" s="78"/>
      <c r="C744" s="78"/>
      <c r="D744" s="106"/>
      <c r="E744" s="107"/>
      <c r="F744" s="107"/>
      <c r="G744" s="107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</row>
    <row r="745">
      <c r="A745" s="78"/>
      <c r="B745" s="78"/>
      <c r="C745" s="78"/>
      <c r="D745" s="106"/>
      <c r="E745" s="107"/>
      <c r="F745" s="107"/>
      <c r="G745" s="107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</row>
    <row r="746">
      <c r="A746" s="78"/>
      <c r="B746" s="78"/>
      <c r="C746" s="78"/>
      <c r="D746" s="106"/>
      <c r="E746" s="107"/>
      <c r="F746" s="107"/>
      <c r="G746" s="107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</row>
    <row r="747">
      <c r="A747" s="78"/>
      <c r="B747" s="78"/>
      <c r="C747" s="78"/>
      <c r="D747" s="106"/>
      <c r="E747" s="107"/>
      <c r="F747" s="107"/>
      <c r="G747" s="107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</row>
    <row r="748">
      <c r="A748" s="78"/>
      <c r="B748" s="78"/>
      <c r="C748" s="78"/>
      <c r="D748" s="106"/>
      <c r="E748" s="107"/>
      <c r="F748" s="107"/>
      <c r="G748" s="107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</row>
    <row r="749">
      <c r="A749" s="78"/>
      <c r="B749" s="78"/>
      <c r="C749" s="78"/>
      <c r="D749" s="106"/>
      <c r="E749" s="107"/>
      <c r="F749" s="107"/>
      <c r="G749" s="107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</row>
    <row r="750">
      <c r="A750" s="78"/>
      <c r="B750" s="78"/>
      <c r="C750" s="78"/>
      <c r="D750" s="106"/>
      <c r="E750" s="107"/>
      <c r="F750" s="107"/>
      <c r="G750" s="107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</row>
    <row r="751">
      <c r="A751" s="78"/>
      <c r="B751" s="78"/>
      <c r="C751" s="78"/>
      <c r="D751" s="106"/>
      <c r="E751" s="107"/>
      <c r="F751" s="107"/>
      <c r="G751" s="107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</row>
    <row r="752">
      <c r="A752" s="78"/>
      <c r="B752" s="78"/>
      <c r="C752" s="78"/>
      <c r="D752" s="106"/>
      <c r="E752" s="107"/>
      <c r="F752" s="107"/>
      <c r="G752" s="107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</row>
    <row r="753">
      <c r="A753" s="78"/>
      <c r="B753" s="78"/>
      <c r="C753" s="78"/>
      <c r="D753" s="106"/>
      <c r="E753" s="107"/>
      <c r="F753" s="107"/>
      <c r="G753" s="107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</row>
    <row r="754">
      <c r="A754" s="78"/>
      <c r="B754" s="78"/>
      <c r="C754" s="78"/>
      <c r="D754" s="106"/>
      <c r="E754" s="107"/>
      <c r="F754" s="107"/>
      <c r="G754" s="107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</row>
    <row r="755">
      <c r="A755" s="78"/>
      <c r="B755" s="78"/>
      <c r="C755" s="78"/>
      <c r="D755" s="106"/>
      <c r="E755" s="107"/>
      <c r="F755" s="107"/>
      <c r="G755" s="107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</row>
    <row r="756">
      <c r="A756" s="78"/>
      <c r="B756" s="78"/>
      <c r="C756" s="78"/>
      <c r="D756" s="106"/>
      <c r="E756" s="107"/>
      <c r="F756" s="107"/>
      <c r="G756" s="107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</row>
    <row r="757">
      <c r="A757" s="78"/>
      <c r="B757" s="78"/>
      <c r="C757" s="78"/>
      <c r="D757" s="106"/>
      <c r="E757" s="107"/>
      <c r="F757" s="107"/>
      <c r="G757" s="107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</row>
    <row r="758">
      <c r="A758" s="78"/>
      <c r="B758" s="78"/>
      <c r="C758" s="78"/>
      <c r="D758" s="106"/>
      <c r="E758" s="107"/>
      <c r="F758" s="107"/>
      <c r="G758" s="107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</row>
    <row r="759">
      <c r="A759" s="78"/>
      <c r="B759" s="78"/>
      <c r="C759" s="78"/>
      <c r="D759" s="106"/>
      <c r="E759" s="107"/>
      <c r="F759" s="107"/>
      <c r="G759" s="107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</row>
    <row r="760">
      <c r="A760" s="78"/>
      <c r="B760" s="78"/>
      <c r="C760" s="78"/>
      <c r="D760" s="106"/>
      <c r="E760" s="107"/>
      <c r="F760" s="107"/>
      <c r="G760" s="107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</row>
    <row r="761">
      <c r="A761" s="78"/>
      <c r="B761" s="78"/>
      <c r="C761" s="78"/>
      <c r="D761" s="106"/>
      <c r="E761" s="107"/>
      <c r="F761" s="107"/>
      <c r="G761" s="107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</row>
    <row r="762">
      <c r="A762" s="78"/>
      <c r="B762" s="78"/>
      <c r="C762" s="78"/>
      <c r="D762" s="106"/>
      <c r="E762" s="107"/>
      <c r="F762" s="107"/>
      <c r="G762" s="107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</row>
    <row r="763">
      <c r="A763" s="78"/>
      <c r="B763" s="78"/>
      <c r="C763" s="78"/>
      <c r="D763" s="106"/>
      <c r="E763" s="107"/>
      <c r="F763" s="107"/>
      <c r="G763" s="107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</row>
    <row r="764">
      <c r="A764" s="78"/>
      <c r="B764" s="78"/>
      <c r="C764" s="78"/>
      <c r="D764" s="106"/>
      <c r="E764" s="107"/>
      <c r="F764" s="107"/>
      <c r="G764" s="107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</row>
    <row r="765">
      <c r="A765" s="78"/>
      <c r="B765" s="78"/>
      <c r="C765" s="78"/>
      <c r="D765" s="106"/>
      <c r="E765" s="107"/>
      <c r="F765" s="107"/>
      <c r="G765" s="107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</row>
    <row r="766">
      <c r="A766" s="78"/>
      <c r="B766" s="78"/>
      <c r="C766" s="78"/>
      <c r="D766" s="106"/>
      <c r="E766" s="107"/>
      <c r="F766" s="107"/>
      <c r="G766" s="107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</row>
    <row r="767">
      <c r="A767" s="78"/>
      <c r="B767" s="78"/>
      <c r="C767" s="78"/>
      <c r="D767" s="106"/>
      <c r="E767" s="107"/>
      <c r="F767" s="107"/>
      <c r="G767" s="107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</row>
    <row r="768">
      <c r="A768" s="78"/>
      <c r="B768" s="78"/>
      <c r="C768" s="78"/>
      <c r="D768" s="106"/>
      <c r="E768" s="107"/>
      <c r="F768" s="107"/>
      <c r="G768" s="107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</row>
    <row r="769">
      <c r="A769" s="78"/>
      <c r="B769" s="78"/>
      <c r="C769" s="78"/>
      <c r="D769" s="106"/>
      <c r="E769" s="107"/>
      <c r="F769" s="107"/>
      <c r="G769" s="107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</row>
    <row r="770">
      <c r="A770" s="78"/>
      <c r="B770" s="78"/>
      <c r="C770" s="78"/>
      <c r="D770" s="106"/>
      <c r="E770" s="107"/>
      <c r="F770" s="107"/>
      <c r="G770" s="107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</row>
    <row r="771">
      <c r="A771" s="78"/>
      <c r="B771" s="78"/>
      <c r="C771" s="78"/>
      <c r="D771" s="106"/>
      <c r="E771" s="107"/>
      <c r="F771" s="107"/>
      <c r="G771" s="107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</row>
    <row r="772">
      <c r="A772" s="78"/>
      <c r="B772" s="78"/>
      <c r="C772" s="78"/>
      <c r="D772" s="106"/>
      <c r="E772" s="107"/>
      <c r="F772" s="107"/>
      <c r="G772" s="107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</row>
    <row r="773">
      <c r="A773" s="78"/>
      <c r="B773" s="78"/>
      <c r="C773" s="78"/>
      <c r="D773" s="106"/>
      <c r="E773" s="107"/>
      <c r="F773" s="107"/>
      <c r="G773" s="107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</row>
    <row r="774">
      <c r="A774" s="78"/>
      <c r="B774" s="78"/>
      <c r="C774" s="78"/>
      <c r="D774" s="106"/>
      <c r="E774" s="107"/>
      <c r="F774" s="107"/>
      <c r="G774" s="107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</row>
    <row r="775">
      <c r="A775" s="78"/>
      <c r="B775" s="78"/>
      <c r="C775" s="78"/>
      <c r="D775" s="106"/>
      <c r="E775" s="107"/>
      <c r="F775" s="107"/>
      <c r="G775" s="107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</row>
    <row r="776">
      <c r="A776" s="78"/>
      <c r="B776" s="78"/>
      <c r="C776" s="78"/>
      <c r="D776" s="106"/>
      <c r="E776" s="107"/>
      <c r="F776" s="107"/>
      <c r="G776" s="107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</row>
    <row r="777">
      <c r="A777" s="78"/>
      <c r="B777" s="78"/>
      <c r="C777" s="78"/>
      <c r="D777" s="106"/>
      <c r="E777" s="107"/>
      <c r="F777" s="107"/>
      <c r="G777" s="107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</row>
    <row r="778">
      <c r="A778" s="78"/>
      <c r="B778" s="78"/>
      <c r="C778" s="78"/>
      <c r="D778" s="106"/>
      <c r="E778" s="107"/>
      <c r="F778" s="107"/>
      <c r="G778" s="107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</row>
    <row r="779">
      <c r="A779" s="78"/>
      <c r="B779" s="78"/>
      <c r="C779" s="78"/>
      <c r="D779" s="106"/>
      <c r="E779" s="107"/>
      <c r="F779" s="107"/>
      <c r="G779" s="107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</row>
    <row r="780">
      <c r="A780" s="78"/>
      <c r="B780" s="78"/>
      <c r="C780" s="78"/>
      <c r="D780" s="106"/>
      <c r="E780" s="107"/>
      <c r="F780" s="107"/>
      <c r="G780" s="107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</row>
    <row r="781">
      <c r="A781" s="78"/>
      <c r="B781" s="78"/>
      <c r="C781" s="78"/>
      <c r="D781" s="106"/>
      <c r="E781" s="107"/>
      <c r="F781" s="107"/>
      <c r="G781" s="107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</row>
    <row r="782">
      <c r="A782" s="78"/>
      <c r="B782" s="78"/>
      <c r="C782" s="78"/>
      <c r="D782" s="106"/>
      <c r="E782" s="107"/>
      <c r="F782" s="107"/>
      <c r="G782" s="107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</row>
    <row r="783">
      <c r="A783" s="78"/>
      <c r="B783" s="78"/>
      <c r="C783" s="78"/>
      <c r="D783" s="106"/>
      <c r="E783" s="107"/>
      <c r="F783" s="107"/>
      <c r="G783" s="107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</row>
    <row r="784">
      <c r="A784" s="78"/>
      <c r="B784" s="78"/>
      <c r="C784" s="78"/>
      <c r="D784" s="106"/>
      <c r="E784" s="107"/>
      <c r="F784" s="107"/>
      <c r="G784" s="107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</row>
    <row r="785">
      <c r="A785" s="78"/>
      <c r="B785" s="78"/>
      <c r="C785" s="78"/>
      <c r="D785" s="106"/>
      <c r="E785" s="107"/>
      <c r="F785" s="107"/>
      <c r="G785" s="107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</row>
    <row r="786">
      <c r="A786" s="78"/>
      <c r="B786" s="78"/>
      <c r="C786" s="78"/>
      <c r="D786" s="106"/>
      <c r="E786" s="107"/>
      <c r="F786" s="107"/>
      <c r="G786" s="107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</row>
    <row r="787">
      <c r="A787" s="78"/>
      <c r="B787" s="78"/>
      <c r="C787" s="78"/>
      <c r="D787" s="106"/>
      <c r="E787" s="107"/>
      <c r="F787" s="107"/>
      <c r="G787" s="107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</row>
    <row r="788">
      <c r="A788" s="78"/>
      <c r="B788" s="78"/>
      <c r="C788" s="78"/>
      <c r="D788" s="106"/>
      <c r="E788" s="107"/>
      <c r="F788" s="107"/>
      <c r="G788" s="107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</row>
    <row r="789">
      <c r="A789" s="78"/>
      <c r="B789" s="78"/>
      <c r="C789" s="78"/>
      <c r="D789" s="106"/>
      <c r="E789" s="107"/>
      <c r="F789" s="107"/>
      <c r="G789" s="107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</row>
    <row r="790">
      <c r="A790" s="78"/>
      <c r="B790" s="78"/>
      <c r="C790" s="78"/>
      <c r="D790" s="106"/>
      <c r="E790" s="107"/>
      <c r="F790" s="107"/>
      <c r="G790" s="107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</row>
    <row r="791">
      <c r="A791" s="78"/>
      <c r="B791" s="78"/>
      <c r="C791" s="78"/>
      <c r="D791" s="106"/>
      <c r="E791" s="107"/>
      <c r="F791" s="107"/>
      <c r="G791" s="107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</row>
    <row r="792">
      <c r="A792" s="78"/>
      <c r="B792" s="78"/>
      <c r="C792" s="78"/>
      <c r="D792" s="106"/>
      <c r="E792" s="107"/>
      <c r="F792" s="107"/>
      <c r="G792" s="107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</row>
    <row r="793">
      <c r="A793" s="78"/>
      <c r="B793" s="78"/>
      <c r="C793" s="78"/>
      <c r="D793" s="106"/>
      <c r="E793" s="107"/>
      <c r="F793" s="107"/>
      <c r="G793" s="107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</row>
    <row r="794">
      <c r="A794" s="78"/>
      <c r="B794" s="78"/>
      <c r="C794" s="78"/>
      <c r="D794" s="106"/>
      <c r="E794" s="107"/>
      <c r="F794" s="107"/>
      <c r="G794" s="107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</row>
    <row r="795">
      <c r="A795" s="78"/>
      <c r="B795" s="78"/>
      <c r="C795" s="78"/>
      <c r="D795" s="106"/>
      <c r="E795" s="107"/>
      <c r="F795" s="107"/>
      <c r="G795" s="107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</row>
    <row r="796">
      <c r="A796" s="78"/>
      <c r="B796" s="78"/>
      <c r="C796" s="78"/>
      <c r="D796" s="106"/>
      <c r="E796" s="107"/>
      <c r="F796" s="107"/>
      <c r="G796" s="107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</row>
    <row r="797">
      <c r="A797" s="78"/>
      <c r="B797" s="78"/>
      <c r="C797" s="78"/>
      <c r="D797" s="106"/>
      <c r="E797" s="107"/>
      <c r="F797" s="107"/>
      <c r="G797" s="107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</row>
    <row r="798">
      <c r="A798" s="78"/>
      <c r="B798" s="78"/>
      <c r="C798" s="78"/>
      <c r="D798" s="106"/>
      <c r="E798" s="107"/>
      <c r="F798" s="107"/>
      <c r="G798" s="107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</row>
    <row r="799">
      <c r="A799" s="78"/>
      <c r="B799" s="78"/>
      <c r="C799" s="78"/>
      <c r="D799" s="106"/>
      <c r="E799" s="107"/>
      <c r="F799" s="107"/>
      <c r="G799" s="107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</row>
    <row r="800">
      <c r="A800" s="78"/>
      <c r="B800" s="78"/>
      <c r="C800" s="78"/>
      <c r="D800" s="106"/>
      <c r="E800" s="107"/>
      <c r="F800" s="107"/>
      <c r="G800" s="107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</row>
    <row r="801">
      <c r="A801" s="78"/>
      <c r="B801" s="78"/>
      <c r="C801" s="78"/>
      <c r="D801" s="106"/>
      <c r="E801" s="107"/>
      <c r="F801" s="107"/>
      <c r="G801" s="107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</row>
    <row r="802">
      <c r="A802" s="78"/>
      <c r="B802" s="78"/>
      <c r="C802" s="78"/>
      <c r="D802" s="106"/>
      <c r="E802" s="107"/>
      <c r="F802" s="107"/>
      <c r="G802" s="107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</row>
    <row r="803">
      <c r="A803" s="78"/>
      <c r="B803" s="78"/>
      <c r="C803" s="78"/>
      <c r="D803" s="106"/>
      <c r="E803" s="107"/>
      <c r="F803" s="107"/>
      <c r="G803" s="107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</row>
    <row r="804">
      <c r="A804" s="78"/>
      <c r="B804" s="78"/>
      <c r="C804" s="78"/>
      <c r="D804" s="106"/>
      <c r="E804" s="107"/>
      <c r="F804" s="107"/>
      <c r="G804" s="107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</row>
    <row r="805">
      <c r="A805" s="78"/>
      <c r="B805" s="78"/>
      <c r="C805" s="78"/>
      <c r="D805" s="106"/>
      <c r="E805" s="107"/>
      <c r="F805" s="107"/>
      <c r="G805" s="107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</row>
    <row r="806">
      <c r="A806" s="78"/>
      <c r="B806" s="78"/>
      <c r="C806" s="78"/>
      <c r="D806" s="106"/>
      <c r="E806" s="107"/>
      <c r="F806" s="107"/>
      <c r="G806" s="107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</row>
    <row r="807">
      <c r="A807" s="78"/>
      <c r="B807" s="78"/>
      <c r="C807" s="78"/>
      <c r="D807" s="106"/>
      <c r="E807" s="107"/>
      <c r="F807" s="107"/>
      <c r="G807" s="107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</row>
    <row r="808">
      <c r="A808" s="78"/>
      <c r="B808" s="78"/>
      <c r="C808" s="78"/>
      <c r="D808" s="106"/>
      <c r="E808" s="107"/>
      <c r="F808" s="107"/>
      <c r="G808" s="107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</row>
    <row r="809">
      <c r="A809" s="78"/>
      <c r="B809" s="78"/>
      <c r="C809" s="78"/>
      <c r="D809" s="106"/>
      <c r="E809" s="107"/>
      <c r="F809" s="107"/>
      <c r="G809" s="107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</row>
    <row r="810">
      <c r="A810" s="78"/>
      <c r="B810" s="78"/>
      <c r="C810" s="78"/>
      <c r="D810" s="106"/>
      <c r="E810" s="107"/>
      <c r="F810" s="107"/>
      <c r="G810" s="107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</row>
    <row r="811">
      <c r="A811" s="78"/>
      <c r="B811" s="78"/>
      <c r="C811" s="78"/>
      <c r="D811" s="106"/>
      <c r="E811" s="107"/>
      <c r="F811" s="107"/>
      <c r="G811" s="107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</row>
    <row r="812">
      <c r="A812" s="78"/>
      <c r="B812" s="78"/>
      <c r="C812" s="78"/>
      <c r="D812" s="106"/>
      <c r="E812" s="107"/>
      <c r="F812" s="107"/>
      <c r="G812" s="107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</row>
    <row r="813">
      <c r="A813" s="78"/>
      <c r="B813" s="78"/>
      <c r="C813" s="78"/>
      <c r="D813" s="106"/>
      <c r="E813" s="107"/>
      <c r="F813" s="107"/>
      <c r="G813" s="107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</row>
    <row r="814">
      <c r="A814" s="78"/>
      <c r="B814" s="78"/>
      <c r="C814" s="78"/>
      <c r="D814" s="106"/>
      <c r="E814" s="107"/>
      <c r="F814" s="107"/>
      <c r="G814" s="107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</row>
    <row r="815">
      <c r="A815" s="78"/>
      <c r="B815" s="78"/>
      <c r="C815" s="78"/>
      <c r="D815" s="106"/>
      <c r="E815" s="107"/>
      <c r="F815" s="107"/>
      <c r="G815" s="107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</row>
    <row r="816">
      <c r="A816" s="78"/>
      <c r="B816" s="78"/>
      <c r="C816" s="78"/>
      <c r="D816" s="106"/>
      <c r="E816" s="107"/>
      <c r="F816" s="107"/>
      <c r="G816" s="107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</row>
    <row r="817">
      <c r="A817" s="78"/>
      <c r="B817" s="78"/>
      <c r="C817" s="78"/>
      <c r="D817" s="106"/>
      <c r="E817" s="107"/>
      <c r="F817" s="107"/>
      <c r="G817" s="107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</row>
    <row r="818">
      <c r="A818" s="78"/>
      <c r="B818" s="78"/>
      <c r="C818" s="78"/>
      <c r="D818" s="106"/>
      <c r="E818" s="107"/>
      <c r="F818" s="107"/>
      <c r="G818" s="107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</row>
    <row r="819">
      <c r="A819" s="78"/>
      <c r="B819" s="78"/>
      <c r="C819" s="78"/>
      <c r="D819" s="106"/>
      <c r="E819" s="107"/>
      <c r="F819" s="107"/>
      <c r="G819" s="107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</row>
    <row r="820">
      <c r="A820" s="78"/>
      <c r="B820" s="78"/>
      <c r="C820" s="78"/>
      <c r="D820" s="106"/>
      <c r="E820" s="107"/>
      <c r="F820" s="107"/>
      <c r="G820" s="107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</row>
    <row r="821">
      <c r="A821" s="78"/>
      <c r="B821" s="78"/>
      <c r="C821" s="78"/>
      <c r="D821" s="106"/>
      <c r="E821" s="107"/>
      <c r="F821" s="107"/>
      <c r="G821" s="107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</row>
    <row r="822">
      <c r="A822" s="78"/>
      <c r="B822" s="78"/>
      <c r="C822" s="78"/>
      <c r="D822" s="106"/>
      <c r="E822" s="107"/>
      <c r="F822" s="107"/>
      <c r="G822" s="107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</row>
    <row r="823">
      <c r="A823" s="78"/>
      <c r="B823" s="78"/>
      <c r="C823" s="78"/>
      <c r="D823" s="106"/>
      <c r="E823" s="107"/>
      <c r="F823" s="107"/>
      <c r="G823" s="107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</row>
    <row r="824">
      <c r="A824" s="78"/>
      <c r="B824" s="78"/>
      <c r="C824" s="78"/>
      <c r="D824" s="106"/>
      <c r="E824" s="107"/>
      <c r="F824" s="107"/>
      <c r="G824" s="107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</row>
    <row r="825">
      <c r="A825" s="78"/>
      <c r="B825" s="78"/>
      <c r="C825" s="78"/>
      <c r="D825" s="106"/>
      <c r="E825" s="107"/>
      <c r="F825" s="107"/>
      <c r="G825" s="107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</row>
    <row r="826">
      <c r="A826" s="78"/>
      <c r="B826" s="78"/>
      <c r="C826" s="78"/>
      <c r="D826" s="106"/>
      <c r="E826" s="107"/>
      <c r="F826" s="107"/>
      <c r="G826" s="107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</row>
    <row r="827">
      <c r="A827" s="78"/>
      <c r="B827" s="78"/>
      <c r="C827" s="78"/>
      <c r="D827" s="106"/>
      <c r="E827" s="107"/>
      <c r="F827" s="107"/>
      <c r="G827" s="107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</row>
    <row r="828">
      <c r="A828" s="78"/>
      <c r="B828" s="78"/>
      <c r="C828" s="78"/>
      <c r="D828" s="106"/>
      <c r="E828" s="107"/>
      <c r="F828" s="107"/>
      <c r="G828" s="107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</row>
    <row r="829">
      <c r="A829" s="78"/>
      <c r="B829" s="78"/>
      <c r="C829" s="78"/>
      <c r="D829" s="106"/>
      <c r="E829" s="107"/>
      <c r="F829" s="107"/>
      <c r="G829" s="107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</row>
    <row r="830">
      <c r="A830" s="78"/>
      <c r="B830" s="78"/>
      <c r="C830" s="78"/>
      <c r="D830" s="106"/>
      <c r="E830" s="107"/>
      <c r="F830" s="107"/>
      <c r="G830" s="107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</row>
    <row r="831">
      <c r="A831" s="78"/>
      <c r="B831" s="78"/>
      <c r="C831" s="78"/>
      <c r="D831" s="106"/>
      <c r="E831" s="107"/>
      <c r="F831" s="107"/>
      <c r="G831" s="107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</row>
    <row r="832">
      <c r="A832" s="78"/>
      <c r="B832" s="78"/>
      <c r="C832" s="78"/>
      <c r="D832" s="106"/>
      <c r="E832" s="107"/>
      <c r="F832" s="107"/>
      <c r="G832" s="107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</row>
    <row r="833">
      <c r="A833" s="78"/>
      <c r="B833" s="78"/>
      <c r="C833" s="78"/>
      <c r="D833" s="106"/>
      <c r="E833" s="107"/>
      <c r="F833" s="107"/>
      <c r="G833" s="107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</row>
    <row r="834">
      <c r="A834" s="78"/>
      <c r="B834" s="78"/>
      <c r="C834" s="78"/>
      <c r="D834" s="106"/>
      <c r="E834" s="107"/>
      <c r="F834" s="107"/>
      <c r="G834" s="107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</row>
    <row r="835">
      <c r="A835" s="78"/>
      <c r="B835" s="78"/>
      <c r="C835" s="78"/>
      <c r="D835" s="106"/>
      <c r="E835" s="107"/>
      <c r="F835" s="107"/>
      <c r="G835" s="107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</row>
    <row r="836">
      <c r="A836" s="78"/>
      <c r="B836" s="78"/>
      <c r="C836" s="78"/>
      <c r="D836" s="106"/>
      <c r="E836" s="107"/>
      <c r="F836" s="107"/>
      <c r="G836" s="107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</row>
    <row r="837">
      <c r="A837" s="78"/>
      <c r="B837" s="78"/>
      <c r="C837" s="78"/>
      <c r="D837" s="106"/>
      <c r="E837" s="107"/>
      <c r="F837" s="107"/>
      <c r="G837" s="107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</row>
    <row r="838">
      <c r="A838" s="78"/>
      <c r="B838" s="78"/>
      <c r="C838" s="78"/>
      <c r="D838" s="106"/>
      <c r="E838" s="107"/>
      <c r="F838" s="107"/>
      <c r="G838" s="107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</row>
    <row r="839">
      <c r="A839" s="78"/>
      <c r="B839" s="78"/>
      <c r="C839" s="78"/>
      <c r="D839" s="106"/>
      <c r="E839" s="107"/>
      <c r="F839" s="107"/>
      <c r="G839" s="107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</row>
    <row r="840">
      <c r="A840" s="78"/>
      <c r="B840" s="78"/>
      <c r="C840" s="78"/>
      <c r="D840" s="106"/>
      <c r="E840" s="107"/>
      <c r="F840" s="107"/>
      <c r="G840" s="107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</row>
    <row r="841">
      <c r="A841" s="78"/>
      <c r="B841" s="78"/>
      <c r="C841" s="78"/>
      <c r="D841" s="106"/>
      <c r="E841" s="107"/>
      <c r="F841" s="107"/>
      <c r="G841" s="107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</row>
    <row r="842">
      <c r="A842" s="78"/>
      <c r="B842" s="78"/>
      <c r="C842" s="78"/>
      <c r="D842" s="106"/>
      <c r="E842" s="107"/>
      <c r="F842" s="107"/>
      <c r="G842" s="107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</row>
    <row r="843">
      <c r="A843" s="78"/>
      <c r="B843" s="78"/>
      <c r="C843" s="78"/>
      <c r="D843" s="106"/>
      <c r="E843" s="107"/>
      <c r="F843" s="107"/>
      <c r="G843" s="107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</row>
    <row r="844">
      <c r="A844" s="78"/>
      <c r="B844" s="78"/>
      <c r="C844" s="78"/>
      <c r="D844" s="106"/>
      <c r="E844" s="107"/>
      <c r="F844" s="107"/>
      <c r="G844" s="107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</row>
    <row r="845">
      <c r="A845" s="78"/>
      <c r="B845" s="78"/>
      <c r="C845" s="78"/>
      <c r="D845" s="106"/>
      <c r="E845" s="107"/>
      <c r="F845" s="107"/>
      <c r="G845" s="107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</row>
    <row r="846">
      <c r="A846" s="78"/>
      <c r="B846" s="78"/>
      <c r="C846" s="78"/>
      <c r="D846" s="106"/>
      <c r="E846" s="107"/>
      <c r="F846" s="107"/>
      <c r="G846" s="107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</row>
    <row r="847">
      <c r="A847" s="78"/>
      <c r="B847" s="78"/>
      <c r="C847" s="78"/>
      <c r="D847" s="106"/>
      <c r="E847" s="107"/>
      <c r="F847" s="107"/>
      <c r="G847" s="107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</row>
    <row r="848">
      <c r="A848" s="78"/>
      <c r="B848" s="78"/>
      <c r="C848" s="78"/>
      <c r="D848" s="106"/>
      <c r="E848" s="107"/>
      <c r="F848" s="107"/>
      <c r="G848" s="107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</row>
    <row r="849">
      <c r="A849" s="78"/>
      <c r="B849" s="78"/>
      <c r="C849" s="78"/>
      <c r="D849" s="106"/>
      <c r="E849" s="107"/>
      <c r="F849" s="107"/>
      <c r="G849" s="107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</row>
    <row r="850">
      <c r="A850" s="78"/>
      <c r="B850" s="78"/>
      <c r="C850" s="78"/>
      <c r="D850" s="106"/>
      <c r="E850" s="107"/>
      <c r="F850" s="107"/>
      <c r="G850" s="107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</row>
    <row r="851">
      <c r="A851" s="78"/>
      <c r="B851" s="78"/>
      <c r="C851" s="78"/>
      <c r="D851" s="106"/>
      <c r="E851" s="107"/>
      <c r="F851" s="107"/>
      <c r="G851" s="107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</row>
    <row r="852">
      <c r="A852" s="78"/>
      <c r="B852" s="78"/>
      <c r="C852" s="78"/>
      <c r="D852" s="106"/>
      <c r="E852" s="107"/>
      <c r="F852" s="107"/>
      <c r="G852" s="107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</row>
    <row r="853">
      <c r="A853" s="78"/>
      <c r="B853" s="78"/>
      <c r="C853" s="78"/>
      <c r="D853" s="106"/>
      <c r="E853" s="107"/>
      <c r="F853" s="107"/>
      <c r="G853" s="107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</row>
    <row r="854">
      <c r="A854" s="78"/>
      <c r="B854" s="78"/>
      <c r="C854" s="78"/>
      <c r="D854" s="106"/>
      <c r="E854" s="107"/>
      <c r="F854" s="107"/>
      <c r="G854" s="107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</row>
    <row r="855">
      <c r="A855" s="78"/>
      <c r="B855" s="78"/>
      <c r="C855" s="78"/>
      <c r="D855" s="106"/>
      <c r="E855" s="107"/>
      <c r="F855" s="107"/>
      <c r="G855" s="107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</row>
    <row r="856">
      <c r="A856" s="78"/>
      <c r="B856" s="78"/>
      <c r="C856" s="78"/>
      <c r="D856" s="106"/>
      <c r="E856" s="107"/>
      <c r="F856" s="107"/>
      <c r="G856" s="107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</row>
    <row r="857">
      <c r="A857" s="78"/>
      <c r="B857" s="78"/>
      <c r="C857" s="78"/>
      <c r="D857" s="106"/>
      <c r="E857" s="107"/>
      <c r="F857" s="107"/>
      <c r="G857" s="107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</row>
    <row r="858">
      <c r="A858" s="78"/>
      <c r="B858" s="78"/>
      <c r="C858" s="78"/>
      <c r="D858" s="106"/>
      <c r="E858" s="107"/>
      <c r="F858" s="107"/>
      <c r="G858" s="107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</row>
    <row r="859">
      <c r="A859" s="78"/>
      <c r="B859" s="78"/>
      <c r="C859" s="78"/>
      <c r="D859" s="106"/>
      <c r="E859" s="107"/>
      <c r="F859" s="107"/>
      <c r="G859" s="107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</row>
    <row r="860">
      <c r="A860" s="78"/>
      <c r="B860" s="78"/>
      <c r="C860" s="78"/>
      <c r="D860" s="106"/>
      <c r="E860" s="107"/>
      <c r="F860" s="107"/>
      <c r="G860" s="107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</row>
    <row r="861">
      <c r="A861" s="78"/>
      <c r="B861" s="78"/>
      <c r="C861" s="78"/>
      <c r="D861" s="106"/>
      <c r="E861" s="107"/>
      <c r="F861" s="107"/>
      <c r="G861" s="107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</row>
    <row r="862">
      <c r="A862" s="78"/>
      <c r="B862" s="78"/>
      <c r="C862" s="78"/>
      <c r="D862" s="106"/>
      <c r="E862" s="107"/>
      <c r="F862" s="107"/>
      <c r="G862" s="107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</row>
    <row r="863">
      <c r="A863" s="78"/>
      <c r="B863" s="78"/>
      <c r="C863" s="78"/>
      <c r="D863" s="106"/>
      <c r="E863" s="107"/>
      <c r="F863" s="107"/>
      <c r="G863" s="107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</row>
    <row r="864">
      <c r="A864" s="78"/>
      <c r="B864" s="78"/>
      <c r="C864" s="78"/>
      <c r="D864" s="106"/>
      <c r="E864" s="107"/>
      <c r="F864" s="107"/>
      <c r="G864" s="107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</row>
    <row r="865">
      <c r="A865" s="78"/>
      <c r="B865" s="78"/>
      <c r="C865" s="78"/>
      <c r="D865" s="106"/>
      <c r="E865" s="107"/>
      <c r="F865" s="107"/>
      <c r="G865" s="107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</row>
    <row r="866">
      <c r="A866" s="78"/>
      <c r="B866" s="78"/>
      <c r="C866" s="78"/>
      <c r="D866" s="106"/>
      <c r="E866" s="107"/>
      <c r="F866" s="107"/>
      <c r="G866" s="107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</row>
    <row r="867">
      <c r="A867" s="78"/>
      <c r="B867" s="78"/>
      <c r="C867" s="78"/>
      <c r="D867" s="106"/>
      <c r="E867" s="107"/>
      <c r="F867" s="107"/>
      <c r="G867" s="107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</row>
    <row r="868">
      <c r="A868" s="78"/>
      <c r="B868" s="78"/>
      <c r="C868" s="78"/>
      <c r="D868" s="106"/>
      <c r="E868" s="107"/>
      <c r="F868" s="107"/>
      <c r="G868" s="107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</row>
    <row r="869">
      <c r="A869" s="78"/>
      <c r="B869" s="78"/>
      <c r="C869" s="78"/>
      <c r="D869" s="106"/>
      <c r="E869" s="107"/>
      <c r="F869" s="107"/>
      <c r="G869" s="107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</row>
    <row r="870">
      <c r="A870" s="78"/>
      <c r="B870" s="78"/>
      <c r="C870" s="78"/>
      <c r="D870" s="106"/>
      <c r="E870" s="107"/>
      <c r="F870" s="107"/>
      <c r="G870" s="107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</row>
    <row r="871">
      <c r="A871" s="78"/>
      <c r="B871" s="78"/>
      <c r="C871" s="78"/>
      <c r="D871" s="106"/>
      <c r="E871" s="107"/>
      <c r="F871" s="107"/>
      <c r="G871" s="107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</row>
    <row r="872">
      <c r="A872" s="78"/>
      <c r="B872" s="78"/>
      <c r="C872" s="78"/>
      <c r="D872" s="106"/>
      <c r="E872" s="107"/>
      <c r="F872" s="107"/>
      <c r="G872" s="107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</row>
    <row r="873">
      <c r="A873" s="78"/>
      <c r="B873" s="78"/>
      <c r="C873" s="78"/>
      <c r="D873" s="106"/>
      <c r="E873" s="107"/>
      <c r="F873" s="107"/>
      <c r="G873" s="107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</row>
    <row r="874">
      <c r="A874" s="78"/>
      <c r="B874" s="78"/>
      <c r="C874" s="78"/>
      <c r="D874" s="106"/>
      <c r="E874" s="107"/>
      <c r="F874" s="107"/>
      <c r="G874" s="107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</row>
    <row r="875">
      <c r="A875" s="78"/>
      <c r="B875" s="78"/>
      <c r="C875" s="78"/>
      <c r="D875" s="106"/>
      <c r="E875" s="107"/>
      <c r="F875" s="107"/>
      <c r="G875" s="107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</row>
    <row r="876">
      <c r="A876" s="78"/>
      <c r="B876" s="78"/>
      <c r="C876" s="78"/>
      <c r="D876" s="106"/>
      <c r="E876" s="107"/>
      <c r="F876" s="107"/>
      <c r="G876" s="107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</row>
    <row r="877">
      <c r="A877" s="78"/>
      <c r="B877" s="78"/>
      <c r="C877" s="78"/>
      <c r="D877" s="106"/>
      <c r="E877" s="107"/>
      <c r="F877" s="107"/>
      <c r="G877" s="107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</row>
    <row r="878">
      <c r="A878" s="78"/>
      <c r="B878" s="78"/>
      <c r="C878" s="78"/>
      <c r="D878" s="106"/>
      <c r="E878" s="107"/>
      <c r="F878" s="107"/>
      <c r="G878" s="107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</row>
    <row r="879">
      <c r="A879" s="78"/>
      <c r="B879" s="78"/>
      <c r="C879" s="78"/>
      <c r="D879" s="106"/>
      <c r="E879" s="107"/>
      <c r="F879" s="107"/>
      <c r="G879" s="107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</row>
    <row r="880">
      <c r="A880" s="78"/>
      <c r="B880" s="78"/>
      <c r="C880" s="78"/>
      <c r="D880" s="106"/>
      <c r="E880" s="107"/>
      <c r="F880" s="107"/>
      <c r="G880" s="107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</row>
    <row r="881">
      <c r="A881" s="78"/>
      <c r="B881" s="78"/>
      <c r="C881" s="78"/>
      <c r="D881" s="106"/>
      <c r="E881" s="107"/>
      <c r="F881" s="107"/>
      <c r="G881" s="107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</row>
    <row r="882">
      <c r="A882" s="78"/>
      <c r="B882" s="78"/>
      <c r="C882" s="78"/>
      <c r="D882" s="106"/>
      <c r="E882" s="107"/>
      <c r="F882" s="107"/>
      <c r="G882" s="107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</row>
    <row r="883">
      <c r="A883" s="78"/>
      <c r="B883" s="78"/>
      <c r="C883" s="78"/>
      <c r="D883" s="106"/>
      <c r="E883" s="107"/>
      <c r="F883" s="107"/>
      <c r="G883" s="107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</row>
    <row r="884">
      <c r="A884" s="78"/>
      <c r="B884" s="78"/>
      <c r="C884" s="78"/>
      <c r="D884" s="106"/>
      <c r="E884" s="107"/>
      <c r="F884" s="107"/>
      <c r="G884" s="107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</row>
    <row r="885">
      <c r="A885" s="78"/>
      <c r="B885" s="78"/>
      <c r="C885" s="78"/>
      <c r="D885" s="106"/>
      <c r="E885" s="107"/>
      <c r="F885" s="107"/>
      <c r="G885" s="107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</row>
    <row r="886">
      <c r="A886" s="78"/>
      <c r="B886" s="78"/>
      <c r="C886" s="78"/>
      <c r="D886" s="106"/>
      <c r="E886" s="107"/>
      <c r="F886" s="107"/>
      <c r="G886" s="107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</row>
    <row r="887">
      <c r="A887" s="78"/>
      <c r="B887" s="78"/>
      <c r="C887" s="78"/>
      <c r="D887" s="106"/>
      <c r="E887" s="107"/>
      <c r="F887" s="107"/>
      <c r="G887" s="107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</row>
    <row r="888">
      <c r="A888" s="78"/>
      <c r="B888" s="78"/>
      <c r="C888" s="78"/>
      <c r="D888" s="106"/>
      <c r="E888" s="107"/>
      <c r="F888" s="107"/>
      <c r="G888" s="107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</row>
    <row r="889">
      <c r="A889" s="78"/>
      <c r="B889" s="78"/>
      <c r="C889" s="78"/>
      <c r="D889" s="106"/>
      <c r="E889" s="107"/>
      <c r="F889" s="107"/>
      <c r="G889" s="107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</row>
    <row r="890">
      <c r="A890" s="78"/>
      <c r="B890" s="78"/>
      <c r="C890" s="78"/>
      <c r="D890" s="106"/>
      <c r="E890" s="107"/>
      <c r="F890" s="107"/>
      <c r="G890" s="107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</row>
    <row r="891">
      <c r="A891" s="78"/>
      <c r="B891" s="78"/>
      <c r="C891" s="78"/>
      <c r="D891" s="106"/>
      <c r="E891" s="107"/>
      <c r="F891" s="107"/>
      <c r="G891" s="107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</row>
    <row r="892">
      <c r="A892" s="78"/>
      <c r="B892" s="78"/>
      <c r="C892" s="78"/>
      <c r="D892" s="106"/>
      <c r="E892" s="107"/>
      <c r="F892" s="107"/>
      <c r="G892" s="107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</row>
    <row r="893">
      <c r="A893" s="78"/>
      <c r="B893" s="78"/>
      <c r="C893" s="78"/>
      <c r="D893" s="106"/>
      <c r="E893" s="107"/>
      <c r="F893" s="107"/>
      <c r="G893" s="107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</row>
    <row r="894">
      <c r="A894" s="78"/>
      <c r="B894" s="78"/>
      <c r="C894" s="78"/>
      <c r="D894" s="106"/>
      <c r="E894" s="107"/>
      <c r="F894" s="107"/>
      <c r="G894" s="107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</row>
    <row r="895">
      <c r="A895" s="78"/>
      <c r="B895" s="78"/>
      <c r="C895" s="78"/>
      <c r="D895" s="106"/>
      <c r="E895" s="107"/>
      <c r="F895" s="107"/>
      <c r="G895" s="107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</row>
    <row r="896">
      <c r="A896" s="78"/>
      <c r="B896" s="78"/>
      <c r="C896" s="78"/>
      <c r="D896" s="106"/>
      <c r="E896" s="107"/>
      <c r="F896" s="107"/>
      <c r="G896" s="107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</row>
    <row r="897">
      <c r="A897" s="78"/>
      <c r="B897" s="78"/>
      <c r="C897" s="78"/>
      <c r="D897" s="106"/>
      <c r="E897" s="107"/>
      <c r="F897" s="107"/>
      <c r="G897" s="107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</row>
    <row r="898">
      <c r="A898" s="78"/>
      <c r="B898" s="78"/>
      <c r="C898" s="78"/>
      <c r="D898" s="106"/>
      <c r="E898" s="107"/>
      <c r="F898" s="107"/>
      <c r="G898" s="107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</row>
    <row r="899">
      <c r="A899" s="78"/>
      <c r="B899" s="78"/>
      <c r="C899" s="78"/>
      <c r="D899" s="106"/>
      <c r="E899" s="107"/>
      <c r="F899" s="107"/>
      <c r="G899" s="107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</row>
    <row r="900">
      <c r="A900" s="78"/>
      <c r="B900" s="78"/>
      <c r="C900" s="78"/>
      <c r="D900" s="106"/>
      <c r="E900" s="107"/>
      <c r="F900" s="107"/>
      <c r="G900" s="107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</row>
    <row r="901">
      <c r="A901" s="78"/>
      <c r="B901" s="78"/>
      <c r="C901" s="78"/>
      <c r="D901" s="106"/>
      <c r="E901" s="107"/>
      <c r="F901" s="107"/>
      <c r="G901" s="107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</row>
    <row r="902">
      <c r="A902" s="78"/>
      <c r="B902" s="78"/>
      <c r="C902" s="78"/>
      <c r="D902" s="106"/>
      <c r="E902" s="107"/>
      <c r="F902" s="107"/>
      <c r="G902" s="107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</row>
    <row r="903">
      <c r="A903" s="78"/>
      <c r="B903" s="78"/>
      <c r="C903" s="78"/>
      <c r="D903" s="106"/>
      <c r="E903" s="107"/>
      <c r="F903" s="107"/>
      <c r="G903" s="107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</row>
    <row r="904">
      <c r="A904" s="78"/>
      <c r="B904" s="78"/>
      <c r="C904" s="78"/>
      <c r="D904" s="106"/>
      <c r="E904" s="107"/>
      <c r="F904" s="107"/>
      <c r="G904" s="107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</row>
    <row r="905">
      <c r="A905" s="78"/>
      <c r="B905" s="78"/>
      <c r="C905" s="78"/>
      <c r="D905" s="106"/>
      <c r="E905" s="107"/>
      <c r="F905" s="107"/>
      <c r="G905" s="107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</row>
    <row r="906">
      <c r="A906" s="78"/>
      <c r="B906" s="78"/>
      <c r="C906" s="78"/>
      <c r="D906" s="106"/>
      <c r="E906" s="107"/>
      <c r="F906" s="107"/>
      <c r="G906" s="107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</row>
    <row r="907">
      <c r="A907" s="78"/>
      <c r="B907" s="78"/>
      <c r="C907" s="78"/>
      <c r="D907" s="106"/>
      <c r="E907" s="107"/>
      <c r="F907" s="107"/>
      <c r="G907" s="107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</row>
    <row r="908">
      <c r="A908" s="78"/>
      <c r="B908" s="78"/>
      <c r="C908" s="78"/>
      <c r="D908" s="106"/>
      <c r="E908" s="107"/>
      <c r="F908" s="107"/>
      <c r="G908" s="107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</row>
    <row r="909">
      <c r="A909" s="78"/>
      <c r="B909" s="78"/>
      <c r="C909" s="78"/>
      <c r="D909" s="106"/>
      <c r="E909" s="107"/>
      <c r="F909" s="107"/>
      <c r="G909" s="107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</row>
    <row r="910">
      <c r="A910" s="78"/>
      <c r="B910" s="78"/>
      <c r="C910" s="78"/>
      <c r="D910" s="106"/>
      <c r="E910" s="107"/>
      <c r="F910" s="107"/>
      <c r="G910" s="107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</row>
    <row r="911">
      <c r="A911" s="78"/>
      <c r="B911" s="78"/>
      <c r="C911" s="78"/>
      <c r="D911" s="106"/>
      <c r="E911" s="107"/>
      <c r="F911" s="107"/>
      <c r="G911" s="107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</row>
    <row r="912">
      <c r="A912" s="78"/>
      <c r="B912" s="78"/>
      <c r="C912" s="78"/>
      <c r="D912" s="106"/>
      <c r="E912" s="107"/>
      <c r="F912" s="107"/>
      <c r="G912" s="107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</row>
    <row r="913">
      <c r="A913" s="78"/>
      <c r="B913" s="78"/>
      <c r="C913" s="78"/>
      <c r="D913" s="106"/>
      <c r="E913" s="107"/>
      <c r="F913" s="107"/>
      <c r="G913" s="107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</row>
    <row r="914">
      <c r="A914" s="78"/>
      <c r="B914" s="78"/>
      <c r="C914" s="78"/>
      <c r="D914" s="106"/>
      <c r="E914" s="107"/>
      <c r="F914" s="107"/>
      <c r="G914" s="107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</row>
    <row r="915">
      <c r="A915" s="78"/>
      <c r="B915" s="78"/>
      <c r="C915" s="78"/>
      <c r="D915" s="106"/>
      <c r="E915" s="107"/>
      <c r="F915" s="107"/>
      <c r="G915" s="107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</row>
    <row r="916">
      <c r="A916" s="78"/>
      <c r="B916" s="78"/>
      <c r="C916" s="78"/>
      <c r="D916" s="106"/>
      <c r="E916" s="107"/>
      <c r="F916" s="107"/>
      <c r="G916" s="107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</row>
    <row r="917">
      <c r="A917" s="78"/>
      <c r="B917" s="78"/>
      <c r="C917" s="78"/>
      <c r="D917" s="106"/>
      <c r="E917" s="107"/>
      <c r="F917" s="107"/>
      <c r="G917" s="107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</row>
    <row r="918">
      <c r="A918" s="78"/>
      <c r="B918" s="78"/>
      <c r="C918" s="78"/>
      <c r="D918" s="106"/>
      <c r="E918" s="107"/>
      <c r="F918" s="107"/>
      <c r="G918" s="107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</row>
    <row r="919">
      <c r="A919" s="78"/>
      <c r="B919" s="78"/>
      <c r="C919" s="78"/>
      <c r="D919" s="106"/>
      <c r="E919" s="107"/>
      <c r="F919" s="107"/>
      <c r="G919" s="107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</row>
    <row r="920">
      <c r="A920" s="78"/>
      <c r="B920" s="78"/>
      <c r="C920" s="78"/>
      <c r="D920" s="106"/>
      <c r="E920" s="107"/>
      <c r="F920" s="107"/>
      <c r="G920" s="107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</row>
    <row r="921">
      <c r="A921" s="78"/>
      <c r="B921" s="78"/>
      <c r="C921" s="78"/>
      <c r="D921" s="106"/>
      <c r="E921" s="107"/>
      <c r="F921" s="107"/>
      <c r="G921" s="107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</row>
    <row r="922">
      <c r="A922" s="78"/>
      <c r="B922" s="78"/>
      <c r="C922" s="78"/>
      <c r="D922" s="106"/>
      <c r="E922" s="107"/>
      <c r="F922" s="107"/>
      <c r="G922" s="107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</row>
    <row r="923">
      <c r="A923" s="78"/>
      <c r="B923" s="78"/>
      <c r="C923" s="78"/>
      <c r="D923" s="106"/>
      <c r="E923" s="107"/>
      <c r="F923" s="107"/>
      <c r="G923" s="107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</row>
    <row r="924">
      <c r="A924" s="78"/>
      <c r="B924" s="78"/>
      <c r="C924" s="78"/>
      <c r="D924" s="106"/>
      <c r="E924" s="107"/>
      <c r="F924" s="107"/>
      <c r="G924" s="107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</row>
    <row r="925">
      <c r="A925" s="78"/>
      <c r="B925" s="78"/>
      <c r="C925" s="78"/>
      <c r="D925" s="106"/>
      <c r="E925" s="107"/>
      <c r="F925" s="107"/>
      <c r="G925" s="107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</row>
    <row r="926">
      <c r="A926" s="78"/>
      <c r="B926" s="78"/>
      <c r="C926" s="78"/>
      <c r="D926" s="106"/>
      <c r="E926" s="107"/>
      <c r="F926" s="107"/>
      <c r="G926" s="107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</row>
    <row r="927">
      <c r="A927" s="78"/>
      <c r="B927" s="78"/>
      <c r="C927" s="78"/>
      <c r="D927" s="106"/>
      <c r="E927" s="107"/>
      <c r="F927" s="107"/>
      <c r="G927" s="107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</row>
    <row r="928">
      <c r="A928" s="78"/>
      <c r="B928" s="78"/>
      <c r="C928" s="78"/>
      <c r="D928" s="106"/>
      <c r="E928" s="107"/>
      <c r="F928" s="107"/>
      <c r="G928" s="107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</row>
    <row r="929">
      <c r="A929" s="78"/>
      <c r="B929" s="78"/>
      <c r="C929" s="78"/>
      <c r="D929" s="106"/>
      <c r="E929" s="107"/>
      <c r="F929" s="107"/>
      <c r="G929" s="107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</row>
    <row r="930">
      <c r="A930" s="78"/>
      <c r="B930" s="78"/>
      <c r="C930" s="78"/>
      <c r="D930" s="106"/>
      <c r="E930" s="107"/>
      <c r="F930" s="107"/>
      <c r="G930" s="107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</row>
    <row r="931">
      <c r="A931" s="78"/>
      <c r="B931" s="78"/>
      <c r="C931" s="78"/>
      <c r="D931" s="106"/>
      <c r="E931" s="107"/>
      <c r="F931" s="107"/>
      <c r="G931" s="107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</row>
    <row r="932">
      <c r="A932" s="78"/>
      <c r="B932" s="78"/>
      <c r="C932" s="78"/>
      <c r="D932" s="106"/>
      <c r="E932" s="107"/>
      <c r="F932" s="107"/>
      <c r="G932" s="107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</row>
    <row r="933">
      <c r="A933" s="78"/>
      <c r="B933" s="78"/>
      <c r="C933" s="78"/>
      <c r="D933" s="106"/>
      <c r="E933" s="107"/>
      <c r="F933" s="107"/>
      <c r="G933" s="107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</row>
    <row r="934">
      <c r="A934" s="78"/>
      <c r="B934" s="78"/>
      <c r="C934" s="78"/>
      <c r="D934" s="106"/>
      <c r="E934" s="107"/>
      <c r="F934" s="107"/>
      <c r="G934" s="107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</row>
    <row r="935">
      <c r="A935" s="78"/>
      <c r="B935" s="78"/>
      <c r="C935" s="78"/>
      <c r="D935" s="106"/>
      <c r="E935" s="107"/>
      <c r="F935" s="107"/>
      <c r="G935" s="107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</row>
    <row r="936">
      <c r="A936" s="78"/>
      <c r="B936" s="78"/>
      <c r="C936" s="78"/>
      <c r="D936" s="106"/>
      <c r="E936" s="107"/>
      <c r="F936" s="107"/>
      <c r="G936" s="107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</row>
    <row r="937">
      <c r="A937" s="78"/>
      <c r="B937" s="78"/>
      <c r="C937" s="78"/>
      <c r="D937" s="106"/>
      <c r="E937" s="107"/>
      <c r="F937" s="107"/>
      <c r="G937" s="107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</row>
    <row r="938">
      <c r="A938" s="78"/>
      <c r="B938" s="78"/>
      <c r="C938" s="78"/>
      <c r="D938" s="106"/>
      <c r="E938" s="107"/>
      <c r="F938" s="107"/>
      <c r="G938" s="107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</row>
    <row r="939">
      <c r="A939" s="78"/>
      <c r="B939" s="78"/>
      <c r="C939" s="78"/>
      <c r="D939" s="106"/>
      <c r="E939" s="107"/>
      <c r="F939" s="107"/>
      <c r="G939" s="107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</row>
    <row r="940">
      <c r="A940" s="78"/>
      <c r="B940" s="78"/>
      <c r="C940" s="78"/>
      <c r="D940" s="106"/>
      <c r="E940" s="107"/>
      <c r="F940" s="107"/>
      <c r="G940" s="107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</row>
    <row r="941">
      <c r="A941" s="78"/>
      <c r="B941" s="78"/>
      <c r="C941" s="78"/>
      <c r="D941" s="106"/>
      <c r="E941" s="107"/>
      <c r="F941" s="107"/>
      <c r="G941" s="107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</row>
    <row r="942">
      <c r="A942" s="78"/>
      <c r="B942" s="78"/>
      <c r="C942" s="78"/>
      <c r="D942" s="106"/>
      <c r="E942" s="107"/>
      <c r="F942" s="107"/>
      <c r="G942" s="107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</row>
    <row r="943">
      <c r="A943" s="78"/>
      <c r="B943" s="78"/>
      <c r="C943" s="78"/>
      <c r="D943" s="106"/>
      <c r="E943" s="107"/>
      <c r="F943" s="107"/>
      <c r="G943" s="107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</row>
    <row r="944">
      <c r="A944" s="78"/>
      <c r="B944" s="78"/>
      <c r="C944" s="78"/>
      <c r="D944" s="106"/>
      <c r="E944" s="107"/>
      <c r="F944" s="107"/>
      <c r="G944" s="107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</row>
    <row r="945">
      <c r="A945" s="78"/>
      <c r="B945" s="78"/>
      <c r="C945" s="78"/>
      <c r="D945" s="106"/>
      <c r="E945" s="107"/>
      <c r="F945" s="107"/>
      <c r="G945" s="107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</row>
    <row r="946">
      <c r="A946" s="78"/>
      <c r="B946" s="78"/>
      <c r="C946" s="78"/>
      <c r="D946" s="106"/>
      <c r="E946" s="107"/>
      <c r="F946" s="107"/>
      <c r="G946" s="107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</row>
    <row r="947">
      <c r="A947" s="78"/>
      <c r="B947" s="78"/>
      <c r="C947" s="78"/>
      <c r="D947" s="106"/>
      <c r="E947" s="107"/>
      <c r="F947" s="107"/>
      <c r="G947" s="107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</row>
    <row r="948">
      <c r="A948" s="78"/>
      <c r="B948" s="78"/>
      <c r="C948" s="78"/>
      <c r="D948" s="106"/>
      <c r="E948" s="107"/>
      <c r="F948" s="107"/>
      <c r="G948" s="107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</row>
    <row r="949">
      <c r="A949" s="78"/>
      <c r="B949" s="78"/>
      <c r="C949" s="78"/>
      <c r="D949" s="106"/>
      <c r="E949" s="107"/>
      <c r="F949" s="107"/>
      <c r="G949" s="107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</row>
    <row r="950">
      <c r="A950" s="78"/>
      <c r="B950" s="78"/>
      <c r="C950" s="78"/>
      <c r="D950" s="106"/>
      <c r="E950" s="107"/>
      <c r="F950" s="107"/>
      <c r="G950" s="107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</row>
    <row r="951">
      <c r="A951" s="78"/>
      <c r="B951" s="78"/>
      <c r="C951" s="78"/>
      <c r="D951" s="106"/>
      <c r="E951" s="107"/>
      <c r="F951" s="107"/>
      <c r="G951" s="107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</row>
    <row r="952">
      <c r="A952" s="78"/>
      <c r="B952" s="78"/>
      <c r="C952" s="78"/>
      <c r="D952" s="106"/>
      <c r="E952" s="107"/>
      <c r="F952" s="107"/>
      <c r="G952" s="107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</row>
    <row r="953">
      <c r="A953" s="78"/>
      <c r="B953" s="78"/>
      <c r="C953" s="78"/>
      <c r="D953" s="106"/>
      <c r="E953" s="107"/>
      <c r="F953" s="107"/>
      <c r="G953" s="107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</row>
    <row r="954">
      <c r="A954" s="78"/>
      <c r="B954" s="78"/>
      <c r="C954" s="78"/>
      <c r="D954" s="106"/>
      <c r="E954" s="107"/>
      <c r="F954" s="107"/>
      <c r="G954" s="107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</row>
    <row r="955">
      <c r="A955" s="78"/>
      <c r="B955" s="78"/>
      <c r="C955" s="78"/>
      <c r="D955" s="106"/>
      <c r="E955" s="107"/>
      <c r="F955" s="107"/>
      <c r="G955" s="107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</row>
    <row r="956">
      <c r="A956" s="78"/>
      <c r="B956" s="78"/>
      <c r="C956" s="78"/>
      <c r="D956" s="106"/>
      <c r="E956" s="107"/>
      <c r="F956" s="107"/>
      <c r="G956" s="107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</row>
    <row r="957">
      <c r="A957" s="78"/>
      <c r="B957" s="78"/>
      <c r="C957" s="78"/>
      <c r="D957" s="106"/>
      <c r="E957" s="107"/>
      <c r="F957" s="107"/>
      <c r="G957" s="107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</row>
    <row r="958">
      <c r="A958" s="78"/>
      <c r="B958" s="78"/>
      <c r="C958" s="78"/>
      <c r="D958" s="106"/>
      <c r="E958" s="107"/>
      <c r="F958" s="107"/>
      <c r="G958" s="107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</row>
    <row r="959">
      <c r="A959" s="78"/>
      <c r="B959" s="78"/>
      <c r="C959" s="78"/>
      <c r="D959" s="106"/>
      <c r="E959" s="107"/>
      <c r="F959" s="107"/>
      <c r="G959" s="107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</row>
    <row r="960">
      <c r="A960" s="78"/>
      <c r="B960" s="78"/>
      <c r="C960" s="78"/>
      <c r="D960" s="106"/>
      <c r="E960" s="107"/>
      <c r="F960" s="107"/>
      <c r="G960" s="107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</row>
    <row r="961">
      <c r="A961" s="78"/>
      <c r="B961" s="78"/>
      <c r="C961" s="78"/>
      <c r="D961" s="106"/>
      <c r="E961" s="107"/>
      <c r="F961" s="107"/>
      <c r="G961" s="107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</row>
    <row r="962">
      <c r="A962" s="78"/>
      <c r="B962" s="78"/>
      <c r="C962" s="78"/>
      <c r="D962" s="106"/>
      <c r="E962" s="107"/>
      <c r="F962" s="107"/>
      <c r="G962" s="107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</row>
    <row r="963">
      <c r="A963" s="78"/>
      <c r="B963" s="78"/>
      <c r="C963" s="78"/>
      <c r="D963" s="106"/>
      <c r="E963" s="107"/>
      <c r="F963" s="107"/>
      <c r="G963" s="107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</row>
    <row r="964">
      <c r="A964" s="78"/>
      <c r="B964" s="78"/>
      <c r="C964" s="78"/>
      <c r="D964" s="106"/>
      <c r="E964" s="107"/>
      <c r="F964" s="107"/>
      <c r="G964" s="107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</row>
    <row r="965">
      <c r="A965" s="78"/>
      <c r="B965" s="78"/>
      <c r="C965" s="78"/>
      <c r="D965" s="106"/>
      <c r="E965" s="107"/>
      <c r="F965" s="107"/>
      <c r="G965" s="107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</row>
    <row r="966">
      <c r="A966" s="78"/>
      <c r="B966" s="78"/>
      <c r="C966" s="78"/>
      <c r="D966" s="106"/>
      <c r="E966" s="107"/>
      <c r="F966" s="107"/>
      <c r="G966" s="107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</row>
    <row r="967">
      <c r="A967" s="78"/>
      <c r="B967" s="78"/>
      <c r="C967" s="78"/>
      <c r="D967" s="106"/>
      <c r="E967" s="107"/>
      <c r="F967" s="107"/>
      <c r="G967" s="107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</row>
    <row r="968">
      <c r="A968" s="78"/>
      <c r="B968" s="78"/>
      <c r="C968" s="78"/>
      <c r="D968" s="106"/>
      <c r="E968" s="107"/>
      <c r="F968" s="107"/>
      <c r="G968" s="107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</row>
    <row r="969">
      <c r="A969" s="78"/>
      <c r="B969" s="78"/>
      <c r="C969" s="78"/>
      <c r="D969" s="106"/>
      <c r="E969" s="107"/>
      <c r="F969" s="107"/>
      <c r="G969" s="107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</row>
    <row r="970">
      <c r="A970" s="78"/>
      <c r="B970" s="78"/>
      <c r="C970" s="78"/>
      <c r="D970" s="106"/>
      <c r="E970" s="107"/>
      <c r="F970" s="107"/>
      <c r="G970" s="107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</row>
    <row r="971">
      <c r="A971" s="78"/>
      <c r="B971" s="78"/>
      <c r="C971" s="78"/>
      <c r="D971" s="106"/>
      <c r="E971" s="107"/>
      <c r="F971" s="107"/>
      <c r="G971" s="107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</row>
    <row r="972">
      <c r="A972" s="78"/>
      <c r="B972" s="78"/>
      <c r="C972" s="78"/>
      <c r="D972" s="106"/>
      <c r="E972" s="107"/>
      <c r="F972" s="107"/>
      <c r="G972" s="107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</row>
    <row r="973">
      <c r="A973" s="78"/>
      <c r="B973" s="78"/>
      <c r="C973" s="78"/>
      <c r="D973" s="106"/>
      <c r="E973" s="107"/>
      <c r="F973" s="107"/>
      <c r="G973" s="107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</row>
    <row r="974">
      <c r="A974" s="78"/>
      <c r="B974" s="78"/>
      <c r="C974" s="78"/>
      <c r="D974" s="106"/>
      <c r="E974" s="107"/>
      <c r="F974" s="107"/>
      <c r="G974" s="107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</row>
    <row r="975">
      <c r="A975" s="78"/>
      <c r="B975" s="78"/>
      <c r="C975" s="78"/>
      <c r="D975" s="106"/>
      <c r="E975" s="107"/>
      <c r="F975" s="107"/>
      <c r="G975" s="107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</row>
    <row r="976">
      <c r="A976" s="78"/>
      <c r="B976" s="78"/>
      <c r="C976" s="78"/>
      <c r="D976" s="106"/>
      <c r="E976" s="107"/>
      <c r="F976" s="107"/>
      <c r="G976" s="107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</row>
    <row r="977">
      <c r="A977" s="78"/>
      <c r="B977" s="78"/>
      <c r="C977" s="78"/>
      <c r="D977" s="106"/>
      <c r="E977" s="107"/>
      <c r="F977" s="107"/>
      <c r="G977" s="107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</row>
    <row r="978">
      <c r="A978" s="78"/>
      <c r="B978" s="78"/>
      <c r="C978" s="78"/>
      <c r="D978" s="106"/>
      <c r="E978" s="107"/>
      <c r="F978" s="107"/>
      <c r="G978" s="107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</row>
    <row r="979">
      <c r="A979" s="78"/>
      <c r="B979" s="78"/>
      <c r="C979" s="78"/>
      <c r="D979" s="106"/>
      <c r="E979" s="107"/>
      <c r="F979" s="107"/>
      <c r="G979" s="107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</row>
    <row r="980">
      <c r="A980" s="78"/>
      <c r="B980" s="78"/>
      <c r="C980" s="78"/>
      <c r="D980" s="106"/>
      <c r="E980" s="107"/>
      <c r="F980" s="107"/>
      <c r="G980" s="107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</row>
    <row r="981">
      <c r="A981" s="78"/>
      <c r="B981" s="78"/>
      <c r="C981" s="78"/>
      <c r="D981" s="106"/>
      <c r="E981" s="107"/>
      <c r="F981" s="107"/>
      <c r="G981" s="107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</row>
  </sheetData>
  <mergeCells count="36">
    <mergeCell ref="B2:C2"/>
    <mergeCell ref="E2:G2"/>
    <mergeCell ref="B3:C3"/>
    <mergeCell ref="B5:B7"/>
    <mergeCell ref="B11:B15"/>
    <mergeCell ref="C16:F16"/>
    <mergeCell ref="C21:F21"/>
    <mergeCell ref="B18:B20"/>
    <mergeCell ref="B23:C23"/>
    <mergeCell ref="B26:B33"/>
    <mergeCell ref="C34:F34"/>
    <mergeCell ref="B36:B39"/>
    <mergeCell ref="C40:F40"/>
    <mergeCell ref="C46:F46"/>
    <mergeCell ref="B42:B45"/>
    <mergeCell ref="B48:C48"/>
    <mergeCell ref="B50:B55"/>
    <mergeCell ref="C56:F56"/>
    <mergeCell ref="B58:B63"/>
    <mergeCell ref="C64:F64"/>
    <mergeCell ref="C69:F69"/>
    <mergeCell ref="C96:F96"/>
    <mergeCell ref="B98:C98"/>
    <mergeCell ref="B100:B103"/>
    <mergeCell ref="C104:F104"/>
    <mergeCell ref="B106:B110"/>
    <mergeCell ref="C111:F111"/>
    <mergeCell ref="B113:B117"/>
    <mergeCell ref="C118:F118"/>
    <mergeCell ref="B66:B68"/>
    <mergeCell ref="B71:C71"/>
    <mergeCell ref="B73:B78"/>
    <mergeCell ref="C79:F79"/>
    <mergeCell ref="B81:B88"/>
    <mergeCell ref="C89:F89"/>
    <mergeCell ref="B91:B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</row>
    <row r="2">
      <c r="A2" s="144" t="s">
        <v>213</v>
      </c>
    </row>
    <row r="3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</row>
    <row r="4">
      <c r="A4" s="145" t="s">
        <v>214</v>
      </c>
      <c r="B4" s="146" t="s">
        <v>215</v>
      </c>
      <c r="C4" s="147" t="s">
        <v>216</v>
      </c>
      <c r="D4" s="147" t="s">
        <v>217</v>
      </c>
      <c r="E4" s="148" t="s">
        <v>218</v>
      </c>
      <c r="F4" s="148" t="s">
        <v>219</v>
      </c>
      <c r="G4" s="148" t="s">
        <v>220</v>
      </c>
      <c r="H4" s="148" t="s">
        <v>221</v>
      </c>
      <c r="I4" s="148" t="s">
        <v>196</v>
      </c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</row>
    <row r="5">
      <c r="A5" s="150">
        <v>1.0</v>
      </c>
      <c r="B5" s="150" t="s">
        <v>39</v>
      </c>
      <c r="C5" s="151">
        <v>16.0</v>
      </c>
      <c r="D5" s="152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</row>
    <row r="6">
      <c r="A6" s="149"/>
      <c r="B6" s="154" t="s">
        <v>222</v>
      </c>
      <c r="C6" s="155"/>
      <c r="D6" s="156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</row>
    <row r="7">
      <c r="A7" s="149"/>
      <c r="B7" s="157" t="s">
        <v>223</v>
      </c>
      <c r="C7" s="155" t="b">
        <v>0</v>
      </c>
      <c r="D7" s="158">
        <v>1.0</v>
      </c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</row>
    <row r="8">
      <c r="A8" s="149"/>
      <c r="B8" s="157" t="s">
        <v>224</v>
      </c>
      <c r="C8" s="155" t="b">
        <v>0</v>
      </c>
      <c r="D8" s="158">
        <v>5.0</v>
      </c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</row>
    <row r="9">
      <c r="A9" s="149"/>
      <c r="B9" s="157" t="s">
        <v>225</v>
      </c>
      <c r="C9" s="155" t="b">
        <v>0</v>
      </c>
      <c r="D9" s="158">
        <v>5.0</v>
      </c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</row>
    <row r="10">
      <c r="A10" s="149"/>
      <c r="B10" s="157" t="s">
        <v>226</v>
      </c>
      <c r="C10" s="155" t="b">
        <v>0</v>
      </c>
      <c r="D10" s="158">
        <v>5.0</v>
      </c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</row>
    <row r="11">
      <c r="A11" s="149"/>
      <c r="B11" s="149"/>
      <c r="C11" s="155"/>
      <c r="D11" s="156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</row>
    <row r="12">
      <c r="A12" s="159">
        <v>2.0</v>
      </c>
      <c r="B12" s="159" t="s">
        <v>227</v>
      </c>
      <c r="C12" s="160">
        <v>110.0</v>
      </c>
      <c r="D12" s="161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</row>
    <row r="13">
      <c r="A13" s="149"/>
      <c r="B13" s="163" t="s">
        <v>228</v>
      </c>
      <c r="C13" s="155"/>
      <c r="D13" s="156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</row>
    <row r="14">
      <c r="A14" s="149"/>
      <c r="B14" s="164" t="s">
        <v>229</v>
      </c>
      <c r="C14" s="155"/>
      <c r="D14" s="156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</row>
    <row r="15">
      <c r="A15" s="149"/>
      <c r="B15" s="149" t="s">
        <v>230</v>
      </c>
      <c r="C15" s="155" t="b">
        <v>0</v>
      </c>
      <c r="D15" s="158">
        <v>10.0</v>
      </c>
      <c r="E15" s="157" t="s">
        <v>231</v>
      </c>
      <c r="F15" s="157" t="s">
        <v>232</v>
      </c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</row>
    <row r="16">
      <c r="A16" s="149"/>
      <c r="B16" s="149" t="s">
        <v>233</v>
      </c>
      <c r="C16" s="155" t="b">
        <v>0</v>
      </c>
      <c r="D16" s="158">
        <v>10.0</v>
      </c>
      <c r="E16" s="157" t="s">
        <v>234</v>
      </c>
      <c r="F16" s="157" t="s">
        <v>235</v>
      </c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</row>
    <row r="17">
      <c r="A17" s="149"/>
      <c r="B17" s="149"/>
      <c r="C17" s="155"/>
      <c r="D17" s="156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</row>
    <row r="18">
      <c r="A18" s="149"/>
      <c r="B18" s="164" t="s">
        <v>236</v>
      </c>
      <c r="C18" s="155"/>
      <c r="D18" s="156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</row>
    <row r="19">
      <c r="A19" s="149"/>
      <c r="B19" s="149" t="s">
        <v>237</v>
      </c>
      <c r="C19" s="155" t="b">
        <v>0</v>
      </c>
      <c r="D19" s="158">
        <v>10.0</v>
      </c>
      <c r="E19" s="157" t="s">
        <v>238</v>
      </c>
      <c r="F19" s="157" t="s">
        <v>239</v>
      </c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</row>
    <row r="20">
      <c r="A20" s="149"/>
      <c r="B20" s="149" t="s">
        <v>240</v>
      </c>
      <c r="C20" s="155" t="b">
        <v>0</v>
      </c>
      <c r="D20" s="158">
        <v>10.0</v>
      </c>
      <c r="E20" s="157" t="s">
        <v>241</v>
      </c>
      <c r="F20" s="157" t="s">
        <v>242</v>
      </c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</row>
    <row r="21">
      <c r="A21" s="149"/>
      <c r="B21" s="149" t="s">
        <v>243</v>
      </c>
      <c r="C21" s="155" t="b">
        <v>0</v>
      </c>
      <c r="D21" s="158">
        <v>10.0</v>
      </c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</row>
    <row r="22">
      <c r="A22" s="149"/>
      <c r="B22" s="149"/>
      <c r="C22" s="155"/>
      <c r="D22" s="156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</row>
    <row r="23">
      <c r="A23" s="149"/>
      <c r="B23" s="164" t="s">
        <v>244</v>
      </c>
      <c r="C23" s="155"/>
      <c r="D23" s="156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</row>
    <row r="24">
      <c r="A24" s="149"/>
      <c r="B24" s="149" t="s">
        <v>245</v>
      </c>
      <c r="C24" s="155" t="b">
        <v>0</v>
      </c>
      <c r="D24" s="158">
        <v>10.0</v>
      </c>
      <c r="E24" s="157" t="s">
        <v>246</v>
      </c>
      <c r="F24" s="157" t="s">
        <v>247</v>
      </c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</row>
    <row r="25">
      <c r="A25" s="149"/>
      <c r="B25" s="149" t="s">
        <v>248</v>
      </c>
      <c r="C25" s="155" t="b">
        <v>0</v>
      </c>
      <c r="D25" s="158">
        <v>10.0</v>
      </c>
      <c r="E25" s="157" t="s">
        <v>249</v>
      </c>
      <c r="F25" s="157" t="s">
        <v>250</v>
      </c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</row>
    <row r="26">
      <c r="A26" s="149"/>
      <c r="B26" s="149"/>
      <c r="C26" s="155"/>
      <c r="D26" s="156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</row>
    <row r="27">
      <c r="A27" s="149"/>
      <c r="B27" s="164" t="s">
        <v>251</v>
      </c>
      <c r="C27" s="155"/>
      <c r="D27" s="156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</row>
    <row r="28">
      <c r="A28" s="149"/>
      <c r="B28" s="149" t="s">
        <v>252</v>
      </c>
      <c r="C28" s="155" t="b">
        <v>0</v>
      </c>
      <c r="D28" s="158">
        <v>10.0</v>
      </c>
      <c r="E28" s="157" t="s">
        <v>253</v>
      </c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</row>
    <row r="29">
      <c r="A29" s="149"/>
      <c r="B29" s="149" t="s">
        <v>254</v>
      </c>
      <c r="C29" s="155" t="b">
        <v>0</v>
      </c>
      <c r="D29" s="158">
        <v>10.0</v>
      </c>
      <c r="E29" s="157" t="s">
        <v>255</v>
      </c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</row>
    <row r="30">
      <c r="A30" s="149"/>
      <c r="B30" s="149"/>
      <c r="C30" s="155"/>
      <c r="D30" s="156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</row>
    <row r="31">
      <c r="A31" s="149"/>
      <c r="B31" s="164" t="s">
        <v>256</v>
      </c>
      <c r="C31" s="155"/>
      <c r="D31" s="156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</row>
    <row r="32">
      <c r="A32" s="149"/>
      <c r="B32" s="149" t="s">
        <v>257</v>
      </c>
      <c r="C32" s="155" t="b">
        <v>0</v>
      </c>
      <c r="D32" s="158">
        <v>10.0</v>
      </c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</row>
    <row r="33">
      <c r="A33" s="149"/>
      <c r="B33" s="157" t="s">
        <v>258</v>
      </c>
      <c r="C33" s="155" t="b">
        <v>0</v>
      </c>
      <c r="D33" s="158">
        <v>10.0</v>
      </c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</row>
    <row r="34">
      <c r="A34" s="149"/>
      <c r="B34" s="149"/>
      <c r="C34" s="155"/>
      <c r="D34" s="156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</row>
    <row r="35">
      <c r="A35" s="159">
        <v>2.0</v>
      </c>
      <c r="B35" s="159" t="s">
        <v>259</v>
      </c>
      <c r="C35" s="160">
        <v>200.0</v>
      </c>
      <c r="D35" s="165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</row>
    <row r="36">
      <c r="A36" s="149"/>
      <c r="B36" s="163" t="s">
        <v>260</v>
      </c>
      <c r="C36" s="155"/>
      <c r="D36" s="156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</row>
    <row r="37">
      <c r="A37" s="149"/>
      <c r="B37" s="149"/>
      <c r="C37" s="155"/>
      <c r="D37" s="156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</row>
    <row r="38">
      <c r="A38" s="149"/>
      <c r="B38" s="164" t="s">
        <v>261</v>
      </c>
      <c r="C38" s="155"/>
      <c r="D38" s="156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</row>
    <row r="39">
      <c r="A39" s="149"/>
      <c r="B39" s="149" t="s">
        <v>262</v>
      </c>
      <c r="C39" s="155" t="b">
        <v>0</v>
      </c>
      <c r="D39" s="158">
        <v>20.0</v>
      </c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</row>
    <row r="40">
      <c r="A40" s="149"/>
      <c r="B40" s="149" t="s">
        <v>263</v>
      </c>
      <c r="C40" s="155" t="b">
        <v>0</v>
      </c>
      <c r="D40" s="158">
        <v>20.0</v>
      </c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</row>
    <row r="41">
      <c r="A41" s="149"/>
      <c r="B41" s="149"/>
      <c r="C41" s="155"/>
      <c r="D41" s="156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</row>
    <row r="42">
      <c r="A42" s="149"/>
      <c r="B42" s="164" t="s">
        <v>264</v>
      </c>
      <c r="C42" s="155"/>
      <c r="D42" s="156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</row>
    <row r="43">
      <c r="A43" s="149"/>
      <c r="B43" s="149" t="s">
        <v>265</v>
      </c>
      <c r="C43" s="155" t="b">
        <v>0</v>
      </c>
      <c r="D43" s="158">
        <v>20.0</v>
      </c>
      <c r="E43" s="166" t="s">
        <v>266</v>
      </c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</row>
    <row r="44">
      <c r="A44" s="149"/>
      <c r="B44" s="149" t="s">
        <v>267</v>
      </c>
      <c r="C44" s="155" t="b">
        <v>0</v>
      </c>
      <c r="D44" s="158">
        <v>20.0</v>
      </c>
      <c r="E44" s="157" t="s">
        <v>268</v>
      </c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</row>
    <row r="45">
      <c r="A45" s="149"/>
      <c r="B45" s="149"/>
      <c r="C45" s="155"/>
      <c r="D45" s="156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</row>
    <row r="46">
      <c r="A46" s="149"/>
      <c r="B46" s="164" t="s">
        <v>269</v>
      </c>
      <c r="C46" s="155"/>
      <c r="D46" s="156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</row>
    <row r="47">
      <c r="A47" s="149"/>
      <c r="B47" s="149" t="s">
        <v>270</v>
      </c>
      <c r="C47" s="155" t="b">
        <v>0</v>
      </c>
      <c r="D47" s="158">
        <v>20.0</v>
      </c>
      <c r="E47" s="157" t="s">
        <v>271</v>
      </c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</row>
    <row r="48">
      <c r="A48" s="149"/>
      <c r="B48" s="149" t="s">
        <v>272</v>
      </c>
      <c r="C48" s="155" t="b">
        <v>0</v>
      </c>
      <c r="D48" s="158">
        <v>20.0</v>
      </c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</row>
    <row r="49">
      <c r="A49" s="149"/>
      <c r="B49" s="149"/>
      <c r="C49" s="155"/>
      <c r="D49" s="156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</row>
    <row r="50">
      <c r="A50" s="149"/>
      <c r="B50" s="164" t="s">
        <v>273</v>
      </c>
      <c r="C50" s="155"/>
      <c r="D50" s="156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</row>
    <row r="51">
      <c r="A51" s="149"/>
      <c r="B51" s="149" t="s">
        <v>274</v>
      </c>
      <c r="C51" s="155" t="b">
        <v>0</v>
      </c>
      <c r="D51" s="158">
        <v>20.0</v>
      </c>
      <c r="E51" s="157" t="s">
        <v>275</v>
      </c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</row>
    <row r="52">
      <c r="A52" s="149"/>
      <c r="B52" s="149" t="s">
        <v>276</v>
      </c>
      <c r="C52" s="155" t="b">
        <v>0</v>
      </c>
      <c r="D52" s="158">
        <v>20.0</v>
      </c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</row>
    <row r="53">
      <c r="A53" s="149"/>
      <c r="B53" s="149"/>
      <c r="C53" s="155"/>
      <c r="D53" s="156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</row>
    <row r="54">
      <c r="A54" s="149"/>
      <c r="B54" s="164" t="s">
        <v>277</v>
      </c>
      <c r="C54" s="155"/>
      <c r="D54" s="156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</row>
    <row r="55">
      <c r="A55" s="149"/>
      <c r="B55" s="149" t="s">
        <v>278</v>
      </c>
      <c r="C55" s="155" t="b">
        <v>0</v>
      </c>
      <c r="D55" s="158">
        <v>20.0</v>
      </c>
      <c r="E55" s="157" t="s">
        <v>279</v>
      </c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</row>
    <row r="56">
      <c r="A56" s="149"/>
      <c r="B56" s="149" t="s">
        <v>280</v>
      </c>
      <c r="C56" s="155" t="b">
        <v>0</v>
      </c>
      <c r="D56" s="158">
        <v>20.0</v>
      </c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</row>
    <row r="57">
      <c r="A57" s="149"/>
      <c r="B57" s="149"/>
      <c r="C57" s="155"/>
      <c r="D57" s="156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</row>
    <row r="58">
      <c r="A58" s="167">
        <v>3.0</v>
      </c>
      <c r="B58" s="167" t="s">
        <v>78</v>
      </c>
      <c r="C58" s="168">
        <v>300.0</v>
      </c>
      <c r="D58" s="169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</row>
    <row r="59">
      <c r="A59" s="149"/>
      <c r="B59" s="163" t="s">
        <v>281</v>
      </c>
      <c r="C59" s="155"/>
      <c r="D59" s="156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</row>
    <row r="60">
      <c r="A60" s="149"/>
      <c r="B60" s="149"/>
      <c r="C60" s="155"/>
      <c r="D60" s="156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</row>
    <row r="61">
      <c r="A61" s="149"/>
      <c r="B61" s="164" t="s">
        <v>282</v>
      </c>
      <c r="C61" s="155"/>
      <c r="D61" s="156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</row>
    <row r="62">
      <c r="A62" s="149"/>
      <c r="B62" s="149" t="s">
        <v>283</v>
      </c>
      <c r="C62" s="155" t="b">
        <v>0</v>
      </c>
      <c r="D62" s="158">
        <v>30.0</v>
      </c>
      <c r="E62" s="157" t="s">
        <v>284</v>
      </c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</row>
    <row r="63">
      <c r="A63" s="149"/>
      <c r="B63" s="149" t="s">
        <v>285</v>
      </c>
      <c r="C63" s="155" t="b">
        <v>0</v>
      </c>
      <c r="D63" s="158">
        <v>30.0</v>
      </c>
      <c r="E63" s="157" t="s">
        <v>286</v>
      </c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</row>
    <row r="64">
      <c r="A64" s="149"/>
      <c r="B64" s="149"/>
      <c r="C64" s="155"/>
      <c r="D64" s="156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</row>
    <row r="65">
      <c r="A65" s="149"/>
      <c r="B65" s="164" t="s">
        <v>287</v>
      </c>
      <c r="C65" s="155"/>
      <c r="D65" s="156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</row>
    <row r="66">
      <c r="A66" s="149"/>
      <c r="B66" s="149" t="s">
        <v>288</v>
      </c>
      <c r="C66" s="155" t="b">
        <v>0</v>
      </c>
      <c r="D66" s="158">
        <v>30.0</v>
      </c>
      <c r="E66" s="157" t="s">
        <v>289</v>
      </c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</row>
    <row r="67">
      <c r="A67" s="149"/>
      <c r="B67" s="149" t="s">
        <v>290</v>
      </c>
      <c r="C67" s="155" t="b">
        <v>0</v>
      </c>
      <c r="D67" s="158">
        <v>30.0</v>
      </c>
      <c r="E67" s="157" t="s">
        <v>291</v>
      </c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</row>
    <row r="68">
      <c r="A68" s="149"/>
      <c r="B68" s="149"/>
      <c r="C68" s="155"/>
      <c r="D68" s="156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</row>
    <row r="69">
      <c r="A69" s="149"/>
      <c r="B69" s="164" t="s">
        <v>292</v>
      </c>
      <c r="C69" s="155"/>
      <c r="D69" s="156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</row>
    <row r="70">
      <c r="A70" s="149"/>
      <c r="B70" s="149" t="s">
        <v>293</v>
      </c>
      <c r="C70" s="155" t="b">
        <v>0</v>
      </c>
      <c r="D70" s="158">
        <v>30.0</v>
      </c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</row>
    <row r="71">
      <c r="A71" s="149"/>
      <c r="B71" s="149" t="s">
        <v>294</v>
      </c>
      <c r="C71" s="155" t="b">
        <v>0</v>
      </c>
      <c r="D71" s="158">
        <v>30.0</v>
      </c>
      <c r="E71" s="157" t="s">
        <v>295</v>
      </c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</row>
    <row r="72">
      <c r="A72" s="149"/>
      <c r="B72" s="149"/>
      <c r="C72" s="155"/>
      <c r="D72" s="156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</row>
    <row r="73">
      <c r="A73" s="149"/>
      <c r="B73" s="164" t="s">
        <v>296</v>
      </c>
      <c r="C73" s="155"/>
      <c r="D73" s="156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</row>
    <row r="74">
      <c r="A74" s="149"/>
      <c r="B74" s="149" t="s">
        <v>297</v>
      </c>
      <c r="C74" s="155" t="b">
        <v>0</v>
      </c>
      <c r="D74" s="158">
        <v>30.0</v>
      </c>
      <c r="E74" s="166" t="s">
        <v>298</v>
      </c>
      <c r="F74" s="149"/>
      <c r="G74" s="149"/>
      <c r="H74" s="149"/>
      <c r="I74" s="157" t="s">
        <v>299</v>
      </c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</row>
    <row r="75">
      <c r="A75" s="149"/>
      <c r="B75" s="149" t="s">
        <v>300</v>
      </c>
      <c r="C75" s="155" t="b">
        <v>0</v>
      </c>
      <c r="D75" s="158">
        <v>30.0</v>
      </c>
      <c r="E75" s="157" t="s">
        <v>301</v>
      </c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</row>
    <row r="76">
      <c r="A76" s="149"/>
      <c r="B76" s="149"/>
      <c r="C76" s="155"/>
      <c r="D76" s="156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</row>
    <row r="77">
      <c r="A77" s="149"/>
      <c r="B77" s="164" t="s">
        <v>302</v>
      </c>
      <c r="C77" s="155"/>
      <c r="D77" s="156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</row>
    <row r="78">
      <c r="A78" s="149"/>
      <c r="B78" s="149" t="s">
        <v>303</v>
      </c>
      <c r="C78" s="155" t="b">
        <v>0</v>
      </c>
      <c r="D78" s="158">
        <v>30.0</v>
      </c>
      <c r="E78" s="157" t="s">
        <v>304</v>
      </c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</row>
    <row r="79">
      <c r="A79" s="149"/>
      <c r="B79" s="149" t="s">
        <v>305</v>
      </c>
      <c r="C79" s="155" t="b">
        <v>0</v>
      </c>
      <c r="D79" s="158">
        <v>30.0</v>
      </c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</row>
    <row r="80">
      <c r="A80" s="149"/>
      <c r="B80" s="149"/>
      <c r="C80" s="155"/>
      <c r="D80" s="156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</row>
    <row r="81">
      <c r="A81" s="171" t="s">
        <v>306</v>
      </c>
      <c r="B81" s="171" t="s">
        <v>307</v>
      </c>
      <c r="C81" s="172">
        <v>4.0</v>
      </c>
      <c r="D81" s="173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</row>
    <row r="82">
      <c r="A82" s="149"/>
      <c r="B82" s="149" t="s">
        <v>308</v>
      </c>
      <c r="C82" s="155" t="b">
        <v>0</v>
      </c>
      <c r="D82" s="158">
        <v>1.0</v>
      </c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</row>
    <row r="83">
      <c r="A83" s="149"/>
      <c r="B83" s="149" t="s">
        <v>309</v>
      </c>
      <c r="C83" s="155" t="b">
        <v>0</v>
      </c>
      <c r="D83" s="158">
        <v>1.0</v>
      </c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</row>
    <row r="84">
      <c r="A84" s="149"/>
      <c r="B84" s="149" t="s">
        <v>310</v>
      </c>
      <c r="C84" s="155" t="b">
        <v>0</v>
      </c>
      <c r="D84" s="158">
        <v>1.0</v>
      </c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</row>
    <row r="85">
      <c r="A85" s="149"/>
      <c r="B85" s="149" t="s">
        <v>311</v>
      </c>
      <c r="C85" s="155" t="b">
        <v>0</v>
      </c>
      <c r="D85" s="158">
        <v>1.0</v>
      </c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</row>
    <row r="86">
      <c r="A86" s="149"/>
      <c r="B86" s="149"/>
      <c r="C86" s="155"/>
      <c r="D86" s="156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</row>
    <row r="87">
      <c r="A87" s="171"/>
      <c r="B87" s="171" t="s">
        <v>312</v>
      </c>
      <c r="C87" s="175"/>
      <c r="D87" s="176" t="s">
        <v>313</v>
      </c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</row>
    <row r="88">
      <c r="A88" s="149"/>
      <c r="B88" s="149"/>
      <c r="C88" s="155"/>
      <c r="D88" s="156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</row>
    <row r="89">
      <c r="A89" s="149"/>
      <c r="B89" s="149"/>
      <c r="C89" s="155"/>
      <c r="D89" s="156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</row>
    <row r="90">
      <c r="A90" s="149"/>
      <c r="B90" s="149"/>
      <c r="C90" s="155"/>
      <c r="D90" s="156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</row>
    <row r="91">
      <c r="A91" s="149"/>
      <c r="B91" s="149"/>
      <c r="C91" s="155"/>
      <c r="D91" s="156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</row>
    <row r="92">
      <c r="A92" s="149"/>
      <c r="B92" s="149"/>
      <c r="C92" s="155"/>
      <c r="D92" s="156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</row>
    <row r="93">
      <c r="A93" s="149"/>
      <c r="B93" s="149"/>
      <c r="C93" s="155"/>
      <c r="D93" s="156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</row>
    <row r="94">
      <c r="A94" s="149"/>
      <c r="B94" s="149"/>
      <c r="C94" s="155"/>
      <c r="D94" s="156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</row>
    <row r="95">
      <c r="A95" s="149"/>
      <c r="B95" s="149"/>
      <c r="C95" s="155"/>
      <c r="D95" s="156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</row>
    <row r="96">
      <c r="A96" s="149"/>
      <c r="B96" s="149"/>
      <c r="C96" s="155"/>
      <c r="D96" s="156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</row>
    <row r="97">
      <c r="A97" s="149"/>
      <c r="B97" s="149"/>
      <c r="C97" s="155"/>
      <c r="D97" s="156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</row>
    <row r="98">
      <c r="A98" s="149"/>
      <c r="B98" s="149"/>
      <c r="C98" s="155"/>
      <c r="D98" s="156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</row>
    <row r="99">
      <c r="A99" s="149"/>
      <c r="B99" s="149"/>
      <c r="C99" s="155"/>
      <c r="D99" s="156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</row>
    <row r="100">
      <c r="A100" s="149"/>
      <c r="B100" s="149"/>
      <c r="C100" s="155"/>
      <c r="D100" s="156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</row>
    <row r="101">
      <c r="A101" s="149"/>
      <c r="B101" s="149"/>
      <c r="C101" s="155"/>
      <c r="D101" s="156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</row>
    <row r="102">
      <c r="A102" s="149"/>
      <c r="B102" s="149"/>
      <c r="C102" s="155"/>
      <c r="D102" s="156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</row>
    <row r="103">
      <c r="A103" s="149"/>
      <c r="B103" s="149"/>
      <c r="C103" s="155"/>
      <c r="D103" s="156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</row>
    <row r="104">
      <c r="A104" s="149"/>
      <c r="B104" s="149"/>
      <c r="C104" s="155"/>
      <c r="D104" s="156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</row>
    <row r="105">
      <c r="A105" s="149"/>
      <c r="B105" s="149"/>
      <c r="C105" s="155"/>
      <c r="D105" s="156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</row>
    <row r="106">
      <c r="A106" s="149"/>
      <c r="B106" s="149"/>
      <c r="C106" s="155"/>
      <c r="D106" s="156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</row>
    <row r="107">
      <c r="A107" s="149"/>
      <c r="B107" s="149"/>
      <c r="C107" s="155"/>
      <c r="D107" s="156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</row>
    <row r="108">
      <c r="A108" s="149"/>
      <c r="B108" s="149"/>
      <c r="C108" s="155"/>
      <c r="D108" s="156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</row>
    <row r="109">
      <c r="A109" s="149"/>
      <c r="B109" s="149"/>
      <c r="C109" s="155"/>
      <c r="D109" s="156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</row>
    <row r="110">
      <c r="A110" s="149"/>
      <c r="B110" s="149"/>
      <c r="C110" s="155"/>
      <c r="D110" s="156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</row>
    <row r="111">
      <c r="A111" s="149"/>
      <c r="B111" s="149"/>
      <c r="C111" s="155"/>
      <c r="D111" s="156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</row>
    <row r="112">
      <c r="A112" s="149"/>
      <c r="B112" s="149"/>
      <c r="C112" s="155"/>
      <c r="D112" s="156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</row>
    <row r="113">
      <c r="A113" s="149"/>
      <c r="B113" s="149"/>
      <c r="C113" s="155"/>
      <c r="D113" s="156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</row>
    <row r="114">
      <c r="A114" s="149"/>
      <c r="B114" s="149"/>
      <c r="C114" s="155"/>
      <c r="D114" s="156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</row>
    <row r="115">
      <c r="A115" s="149"/>
      <c r="B115" s="149"/>
      <c r="C115" s="155"/>
      <c r="D115" s="156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</row>
    <row r="116">
      <c r="A116" s="149"/>
      <c r="B116" s="149"/>
      <c r="C116" s="155"/>
      <c r="D116" s="156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</row>
    <row r="117">
      <c r="A117" s="149"/>
      <c r="B117" s="149"/>
      <c r="C117" s="155"/>
      <c r="D117" s="156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</row>
    <row r="118">
      <c r="A118" s="149"/>
      <c r="B118" s="149"/>
      <c r="C118" s="155"/>
      <c r="D118" s="156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</row>
    <row r="119">
      <c r="A119" s="149"/>
      <c r="B119" s="149"/>
      <c r="C119" s="155"/>
      <c r="D119" s="156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</row>
    <row r="120">
      <c r="A120" s="149"/>
      <c r="B120" s="149"/>
      <c r="C120" s="155"/>
      <c r="D120" s="156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</row>
    <row r="121">
      <c r="A121" s="149"/>
      <c r="B121" s="149"/>
      <c r="C121" s="155"/>
      <c r="D121" s="156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</row>
    <row r="122">
      <c r="A122" s="149"/>
      <c r="B122" s="149"/>
      <c r="C122" s="155"/>
      <c r="D122" s="156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</row>
    <row r="123">
      <c r="A123" s="149"/>
      <c r="B123" s="149"/>
      <c r="C123" s="155"/>
      <c r="D123" s="156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</row>
    <row r="124">
      <c r="A124" s="149"/>
      <c r="B124" s="149"/>
      <c r="C124" s="155"/>
      <c r="D124" s="156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</row>
    <row r="125">
      <c r="A125" s="149"/>
      <c r="B125" s="149"/>
      <c r="C125" s="155"/>
      <c r="D125" s="156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</row>
    <row r="126">
      <c r="A126" s="149"/>
      <c r="B126" s="149"/>
      <c r="C126" s="155"/>
      <c r="D126" s="156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</row>
    <row r="127">
      <c r="A127" s="149"/>
      <c r="B127" s="149"/>
      <c r="C127" s="155"/>
      <c r="D127" s="156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</row>
    <row r="128">
      <c r="A128" s="149"/>
      <c r="B128" s="149"/>
      <c r="C128" s="155"/>
      <c r="D128" s="156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</row>
    <row r="129">
      <c r="A129" s="149"/>
      <c r="B129" s="149"/>
      <c r="C129" s="155"/>
      <c r="D129" s="156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</row>
    <row r="130">
      <c r="A130" s="149"/>
      <c r="B130" s="149"/>
      <c r="C130" s="155"/>
      <c r="D130" s="156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</row>
    <row r="131">
      <c r="A131" s="149"/>
      <c r="B131" s="149"/>
      <c r="C131" s="155"/>
      <c r="D131" s="156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</row>
    <row r="132">
      <c r="A132" s="149"/>
      <c r="B132" s="149"/>
      <c r="C132" s="155"/>
      <c r="D132" s="156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</row>
    <row r="133">
      <c r="A133" s="149"/>
      <c r="B133" s="149"/>
      <c r="C133" s="155"/>
      <c r="D133" s="156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</row>
    <row r="134">
      <c r="A134" s="149"/>
      <c r="B134" s="149"/>
      <c r="C134" s="155"/>
      <c r="D134" s="156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</row>
    <row r="135">
      <c r="A135" s="149"/>
      <c r="B135" s="149"/>
      <c r="C135" s="155"/>
      <c r="D135" s="156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</row>
    <row r="136">
      <c r="A136" s="149"/>
      <c r="B136" s="149"/>
      <c r="C136" s="155"/>
      <c r="D136" s="156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</row>
    <row r="137">
      <c r="A137" s="149"/>
      <c r="B137" s="149"/>
      <c r="C137" s="155"/>
      <c r="D137" s="156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</row>
    <row r="138">
      <c r="A138" s="149"/>
      <c r="B138" s="149"/>
      <c r="C138" s="155"/>
      <c r="D138" s="156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</row>
    <row r="139">
      <c r="A139" s="149"/>
      <c r="B139" s="149"/>
      <c r="C139" s="155"/>
      <c r="D139" s="156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</row>
    <row r="140">
      <c r="A140" s="149"/>
      <c r="B140" s="149"/>
      <c r="C140" s="155"/>
      <c r="D140" s="156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</row>
    <row r="141">
      <c r="A141" s="149"/>
      <c r="B141" s="149"/>
      <c r="C141" s="155"/>
      <c r="D141" s="156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</row>
    <row r="142">
      <c r="A142" s="149"/>
      <c r="B142" s="149"/>
      <c r="C142" s="155"/>
      <c r="D142" s="156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</row>
    <row r="143">
      <c r="A143" s="149"/>
      <c r="B143" s="149"/>
      <c r="C143" s="155"/>
      <c r="D143" s="156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</row>
    <row r="144">
      <c r="A144" s="149"/>
      <c r="B144" s="149"/>
      <c r="C144" s="155"/>
      <c r="D144" s="156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</row>
    <row r="145">
      <c r="A145" s="149"/>
      <c r="B145" s="149"/>
      <c r="C145" s="155"/>
      <c r="D145" s="156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</row>
    <row r="146">
      <c r="A146" s="149"/>
      <c r="B146" s="149"/>
      <c r="C146" s="155"/>
      <c r="D146" s="156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</row>
    <row r="147">
      <c r="A147" s="149"/>
      <c r="B147" s="149"/>
      <c r="C147" s="155"/>
      <c r="D147" s="156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</row>
    <row r="148">
      <c r="A148" s="149"/>
      <c r="B148" s="149"/>
      <c r="C148" s="155"/>
      <c r="D148" s="156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</row>
    <row r="149">
      <c r="A149" s="149"/>
      <c r="B149" s="149"/>
      <c r="C149" s="155"/>
      <c r="D149" s="156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</row>
    <row r="150">
      <c r="A150" s="149"/>
      <c r="B150" s="149"/>
      <c r="C150" s="155"/>
      <c r="D150" s="156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</row>
    <row r="151">
      <c r="A151" s="149"/>
      <c r="B151" s="149"/>
      <c r="C151" s="155"/>
      <c r="D151" s="156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</row>
    <row r="152">
      <c r="A152" s="149"/>
      <c r="B152" s="149"/>
      <c r="C152" s="155"/>
      <c r="D152" s="156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</row>
    <row r="153">
      <c r="A153" s="149"/>
      <c r="B153" s="149"/>
      <c r="C153" s="155"/>
      <c r="D153" s="156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</row>
    <row r="154">
      <c r="A154" s="149"/>
      <c r="B154" s="149"/>
      <c r="C154" s="155"/>
      <c r="D154" s="156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</row>
    <row r="155">
      <c r="A155" s="149"/>
      <c r="B155" s="149"/>
      <c r="C155" s="155"/>
      <c r="D155" s="156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</row>
    <row r="156">
      <c r="A156" s="149"/>
      <c r="B156" s="149"/>
      <c r="C156" s="155"/>
      <c r="D156" s="156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</row>
    <row r="157">
      <c r="A157" s="149"/>
      <c r="B157" s="149"/>
      <c r="C157" s="155"/>
      <c r="D157" s="156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</row>
    <row r="158">
      <c r="A158" s="149"/>
      <c r="B158" s="149"/>
      <c r="C158" s="155"/>
      <c r="D158" s="156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</row>
    <row r="159">
      <c r="A159" s="149"/>
      <c r="B159" s="149"/>
      <c r="C159" s="155"/>
      <c r="D159" s="156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</row>
    <row r="160">
      <c r="A160" s="149"/>
      <c r="B160" s="149"/>
      <c r="C160" s="155"/>
      <c r="D160" s="156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</row>
    <row r="161">
      <c r="A161" s="149"/>
      <c r="B161" s="149"/>
      <c r="C161" s="155"/>
      <c r="D161" s="156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</row>
    <row r="162">
      <c r="A162" s="149"/>
      <c r="B162" s="149"/>
      <c r="C162" s="155"/>
      <c r="D162" s="156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</row>
    <row r="163">
      <c r="A163" s="149"/>
      <c r="B163" s="149"/>
      <c r="C163" s="155"/>
      <c r="D163" s="156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</row>
    <row r="164">
      <c r="A164" s="149"/>
      <c r="B164" s="149"/>
      <c r="C164" s="155"/>
      <c r="D164" s="156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</row>
    <row r="165">
      <c r="A165" s="149"/>
      <c r="B165" s="149"/>
      <c r="C165" s="155"/>
      <c r="D165" s="156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</row>
    <row r="166">
      <c r="A166" s="149"/>
      <c r="B166" s="149"/>
      <c r="C166" s="155"/>
      <c r="D166" s="156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</row>
    <row r="167">
      <c r="A167" s="149"/>
      <c r="B167" s="149"/>
      <c r="C167" s="155"/>
      <c r="D167" s="156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</row>
    <row r="168">
      <c r="A168" s="149"/>
      <c r="B168" s="149"/>
      <c r="C168" s="155"/>
      <c r="D168" s="156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</row>
    <row r="169">
      <c r="A169" s="149"/>
      <c r="B169" s="149"/>
      <c r="C169" s="155"/>
      <c r="D169" s="156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</row>
    <row r="170">
      <c r="A170" s="149"/>
      <c r="B170" s="149"/>
      <c r="C170" s="155"/>
      <c r="D170" s="156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</row>
    <row r="171">
      <c r="A171" s="149"/>
      <c r="B171" s="149"/>
      <c r="C171" s="155"/>
      <c r="D171" s="156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</row>
    <row r="172">
      <c r="A172" s="149"/>
      <c r="B172" s="149"/>
      <c r="C172" s="155"/>
      <c r="D172" s="156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</row>
    <row r="173">
      <c r="A173" s="149"/>
      <c r="B173" s="149"/>
      <c r="C173" s="155"/>
      <c r="D173" s="156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</row>
    <row r="174">
      <c r="A174" s="149"/>
      <c r="B174" s="149"/>
      <c r="C174" s="155"/>
      <c r="D174" s="156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</row>
    <row r="175">
      <c r="A175" s="149"/>
      <c r="B175" s="149"/>
      <c r="C175" s="155"/>
      <c r="D175" s="156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</row>
    <row r="176">
      <c r="A176" s="149"/>
      <c r="B176" s="149"/>
      <c r="C176" s="155"/>
      <c r="D176" s="156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</row>
    <row r="177">
      <c r="A177" s="149"/>
      <c r="B177" s="149"/>
      <c r="C177" s="155"/>
      <c r="D177" s="156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</row>
    <row r="178">
      <c r="A178" s="149"/>
      <c r="B178" s="149"/>
      <c r="C178" s="155"/>
      <c r="D178" s="156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</row>
    <row r="179">
      <c r="A179" s="149"/>
      <c r="B179" s="149"/>
      <c r="C179" s="155"/>
      <c r="D179" s="156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</row>
    <row r="180">
      <c r="A180" s="149"/>
      <c r="B180" s="149"/>
      <c r="C180" s="155"/>
      <c r="D180" s="156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</row>
    <row r="181">
      <c r="A181" s="149"/>
      <c r="B181" s="149"/>
      <c r="C181" s="155"/>
      <c r="D181" s="156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</row>
    <row r="182">
      <c r="A182" s="149"/>
      <c r="B182" s="149"/>
      <c r="C182" s="155"/>
      <c r="D182" s="156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</row>
    <row r="183">
      <c r="A183" s="149"/>
      <c r="B183" s="149"/>
      <c r="C183" s="155"/>
      <c r="D183" s="156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</row>
    <row r="184">
      <c r="A184" s="149"/>
      <c r="B184" s="149"/>
      <c r="C184" s="155"/>
      <c r="D184" s="156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</row>
    <row r="185">
      <c r="A185" s="149"/>
      <c r="B185" s="149"/>
      <c r="C185" s="155"/>
      <c r="D185" s="156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</row>
    <row r="186">
      <c r="A186" s="149"/>
      <c r="B186" s="149"/>
      <c r="C186" s="155"/>
      <c r="D186" s="156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</row>
    <row r="187">
      <c r="A187" s="149"/>
      <c r="B187" s="149"/>
      <c r="C187" s="155"/>
      <c r="D187" s="156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</row>
    <row r="188">
      <c r="A188" s="149"/>
      <c r="B188" s="149"/>
      <c r="C188" s="155"/>
      <c r="D188" s="156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</row>
    <row r="189">
      <c r="A189" s="149"/>
      <c r="B189" s="149"/>
      <c r="C189" s="155"/>
      <c r="D189" s="156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</row>
    <row r="190">
      <c r="A190" s="149"/>
      <c r="B190" s="149"/>
      <c r="C190" s="155"/>
      <c r="D190" s="156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</row>
    <row r="191">
      <c r="A191" s="149"/>
      <c r="B191" s="149"/>
      <c r="C191" s="155"/>
      <c r="D191" s="156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</row>
    <row r="192">
      <c r="A192" s="149"/>
      <c r="B192" s="149"/>
      <c r="C192" s="155"/>
      <c r="D192" s="156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</row>
    <row r="193">
      <c r="A193" s="149"/>
      <c r="B193" s="149"/>
      <c r="C193" s="155"/>
      <c r="D193" s="156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</row>
    <row r="194">
      <c r="A194" s="149"/>
      <c r="B194" s="149"/>
      <c r="C194" s="155"/>
      <c r="D194" s="156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</row>
    <row r="195">
      <c r="A195" s="149"/>
      <c r="B195" s="149"/>
      <c r="C195" s="155"/>
      <c r="D195" s="156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</row>
    <row r="196">
      <c r="A196" s="149"/>
      <c r="B196" s="149"/>
      <c r="C196" s="155"/>
      <c r="D196" s="156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</row>
    <row r="197">
      <c r="A197" s="149"/>
      <c r="B197" s="149"/>
      <c r="C197" s="155"/>
      <c r="D197" s="156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</row>
    <row r="198">
      <c r="A198" s="149"/>
      <c r="B198" s="149"/>
      <c r="C198" s="155"/>
      <c r="D198" s="156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</row>
    <row r="199">
      <c r="A199" s="149"/>
      <c r="B199" s="149"/>
      <c r="C199" s="155"/>
      <c r="D199" s="156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</row>
    <row r="200">
      <c r="A200" s="149"/>
      <c r="B200" s="149"/>
      <c r="C200" s="155"/>
      <c r="D200" s="156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</row>
    <row r="201">
      <c r="A201" s="149"/>
      <c r="B201" s="149"/>
      <c r="C201" s="155"/>
      <c r="D201" s="156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</row>
    <row r="202">
      <c r="A202" s="149"/>
      <c r="B202" s="149"/>
      <c r="C202" s="155"/>
      <c r="D202" s="156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</row>
    <row r="203">
      <c r="A203" s="149"/>
      <c r="B203" s="149"/>
      <c r="C203" s="155"/>
      <c r="D203" s="156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</row>
    <row r="204">
      <c r="A204" s="149"/>
      <c r="B204" s="149"/>
      <c r="C204" s="155"/>
      <c r="D204" s="156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</row>
    <row r="205">
      <c r="A205" s="149"/>
      <c r="B205" s="149"/>
      <c r="C205" s="155"/>
      <c r="D205" s="156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</row>
    <row r="206">
      <c r="A206" s="149"/>
      <c r="B206" s="149"/>
      <c r="C206" s="155"/>
      <c r="D206" s="156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</row>
    <row r="207">
      <c r="A207" s="149"/>
      <c r="B207" s="149"/>
      <c r="C207" s="155"/>
      <c r="D207" s="156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</row>
    <row r="208">
      <c r="A208" s="149"/>
      <c r="B208" s="149"/>
      <c r="C208" s="155"/>
      <c r="D208" s="156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</row>
    <row r="209">
      <c r="A209" s="149"/>
      <c r="B209" s="149"/>
      <c r="C209" s="155"/>
      <c r="D209" s="156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</row>
    <row r="210">
      <c r="A210" s="149"/>
      <c r="B210" s="149"/>
      <c r="C210" s="155"/>
      <c r="D210" s="156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</row>
    <row r="211">
      <c r="A211" s="149"/>
      <c r="B211" s="149"/>
      <c r="C211" s="155"/>
      <c r="D211" s="156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</row>
    <row r="212">
      <c r="A212" s="149"/>
      <c r="B212" s="149"/>
      <c r="C212" s="155"/>
      <c r="D212" s="156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</row>
    <row r="213">
      <c r="A213" s="149"/>
      <c r="B213" s="149"/>
      <c r="C213" s="155"/>
      <c r="D213" s="156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</row>
    <row r="214">
      <c r="A214" s="149"/>
      <c r="B214" s="149"/>
      <c r="C214" s="155"/>
      <c r="D214" s="156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</row>
    <row r="215">
      <c r="A215" s="149"/>
      <c r="B215" s="149"/>
      <c r="C215" s="155"/>
      <c r="D215" s="156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</row>
    <row r="216">
      <c r="A216" s="149"/>
      <c r="B216" s="149"/>
      <c r="C216" s="155"/>
      <c r="D216" s="156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</row>
    <row r="217">
      <c r="A217" s="149"/>
      <c r="B217" s="149"/>
      <c r="C217" s="155"/>
      <c r="D217" s="156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</row>
    <row r="218">
      <c r="A218" s="149"/>
      <c r="B218" s="149"/>
      <c r="C218" s="155"/>
      <c r="D218" s="156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</row>
    <row r="219">
      <c r="A219" s="149"/>
      <c r="B219" s="149"/>
      <c r="C219" s="155"/>
      <c r="D219" s="156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</row>
    <row r="220">
      <c r="A220" s="149"/>
      <c r="B220" s="149"/>
      <c r="C220" s="155"/>
      <c r="D220" s="156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</row>
    <row r="221">
      <c r="A221" s="149"/>
      <c r="B221" s="149"/>
      <c r="C221" s="155"/>
      <c r="D221" s="156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</row>
    <row r="222">
      <c r="A222" s="149"/>
      <c r="B222" s="149"/>
      <c r="C222" s="155"/>
      <c r="D222" s="156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</row>
    <row r="223">
      <c r="A223" s="149"/>
      <c r="B223" s="149"/>
      <c r="C223" s="155"/>
      <c r="D223" s="156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</row>
    <row r="224">
      <c r="A224" s="149"/>
      <c r="B224" s="149"/>
      <c r="C224" s="155"/>
      <c r="D224" s="156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</row>
    <row r="225">
      <c r="A225" s="149"/>
      <c r="B225" s="149"/>
      <c r="C225" s="155"/>
      <c r="D225" s="156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</row>
    <row r="226">
      <c r="A226" s="149"/>
      <c r="B226" s="149"/>
      <c r="C226" s="155"/>
      <c r="D226" s="156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</row>
    <row r="227">
      <c r="A227" s="149"/>
      <c r="B227" s="149"/>
      <c r="C227" s="155"/>
      <c r="D227" s="156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</row>
    <row r="228">
      <c r="A228" s="149"/>
      <c r="B228" s="149"/>
      <c r="C228" s="155"/>
      <c r="D228" s="156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</row>
    <row r="229">
      <c r="A229" s="149"/>
      <c r="B229" s="149"/>
      <c r="C229" s="155"/>
      <c r="D229" s="156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</row>
    <row r="230">
      <c r="A230" s="149"/>
      <c r="B230" s="149"/>
      <c r="C230" s="155"/>
      <c r="D230" s="156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</row>
    <row r="231">
      <c r="A231" s="149"/>
      <c r="B231" s="149"/>
      <c r="C231" s="155"/>
      <c r="D231" s="156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</row>
    <row r="232">
      <c r="A232" s="149"/>
      <c r="B232" s="149"/>
      <c r="C232" s="155"/>
      <c r="D232" s="156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</row>
    <row r="233">
      <c r="A233" s="149"/>
      <c r="B233" s="149"/>
      <c r="C233" s="155"/>
      <c r="D233" s="156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</row>
    <row r="234">
      <c r="A234" s="149"/>
      <c r="B234" s="149"/>
      <c r="C234" s="155"/>
      <c r="D234" s="156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</row>
    <row r="235">
      <c r="A235" s="149"/>
      <c r="B235" s="149"/>
      <c r="C235" s="155"/>
      <c r="D235" s="156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</row>
    <row r="236">
      <c r="A236" s="149"/>
      <c r="B236" s="149"/>
      <c r="C236" s="155"/>
      <c r="D236" s="156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</row>
    <row r="237">
      <c r="A237" s="149"/>
      <c r="B237" s="149"/>
      <c r="C237" s="155"/>
      <c r="D237" s="156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</row>
    <row r="238">
      <c r="A238" s="149"/>
      <c r="B238" s="149"/>
      <c r="C238" s="155"/>
      <c r="D238" s="156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</row>
    <row r="239">
      <c r="A239" s="149"/>
      <c r="B239" s="149"/>
      <c r="C239" s="155"/>
      <c r="D239" s="156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</row>
    <row r="240">
      <c r="A240" s="149"/>
      <c r="B240" s="149"/>
      <c r="C240" s="155"/>
      <c r="D240" s="156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</row>
    <row r="241">
      <c r="A241" s="149"/>
      <c r="B241" s="149"/>
      <c r="C241" s="155"/>
      <c r="D241" s="156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</row>
    <row r="242">
      <c r="A242" s="149"/>
      <c r="B242" s="149"/>
      <c r="C242" s="155"/>
      <c r="D242" s="156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</row>
    <row r="243">
      <c r="A243" s="149"/>
      <c r="B243" s="149"/>
      <c r="C243" s="155"/>
      <c r="D243" s="156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</row>
    <row r="244">
      <c r="A244" s="149"/>
      <c r="B244" s="149"/>
      <c r="C244" s="155"/>
      <c r="D244" s="156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</row>
    <row r="245">
      <c r="A245" s="149"/>
      <c r="B245" s="149"/>
      <c r="C245" s="155"/>
      <c r="D245" s="156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</row>
    <row r="246">
      <c r="A246" s="149"/>
      <c r="B246" s="149"/>
      <c r="C246" s="155"/>
      <c r="D246" s="156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</row>
    <row r="247">
      <c r="A247" s="149"/>
      <c r="B247" s="149"/>
      <c r="C247" s="155"/>
      <c r="D247" s="156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</row>
    <row r="248">
      <c r="A248" s="149"/>
      <c r="B248" s="149"/>
      <c r="C248" s="155"/>
      <c r="D248" s="156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</row>
    <row r="249">
      <c r="A249" s="149"/>
      <c r="B249" s="149"/>
      <c r="C249" s="155"/>
      <c r="D249" s="156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</row>
    <row r="250">
      <c r="A250" s="149"/>
      <c r="B250" s="149"/>
      <c r="C250" s="155"/>
      <c r="D250" s="156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</row>
    <row r="251">
      <c r="A251" s="149"/>
      <c r="B251" s="149"/>
      <c r="C251" s="155"/>
      <c r="D251" s="156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</row>
    <row r="252">
      <c r="A252" s="149"/>
      <c r="B252" s="149"/>
      <c r="C252" s="155"/>
      <c r="D252" s="156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</row>
    <row r="253">
      <c r="A253" s="149"/>
      <c r="B253" s="149"/>
      <c r="C253" s="155"/>
      <c r="D253" s="156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</row>
    <row r="254">
      <c r="A254" s="149"/>
      <c r="B254" s="149"/>
      <c r="C254" s="155"/>
      <c r="D254" s="156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</row>
    <row r="255">
      <c r="A255" s="149"/>
      <c r="B255" s="149"/>
      <c r="C255" s="155"/>
      <c r="D255" s="156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</row>
    <row r="256">
      <c r="A256" s="149"/>
      <c r="B256" s="149"/>
      <c r="C256" s="155"/>
      <c r="D256" s="156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  <c r="AA256" s="149"/>
      <c r="AB256" s="149"/>
    </row>
    <row r="257">
      <c r="A257" s="149"/>
      <c r="B257" s="149"/>
      <c r="C257" s="155"/>
      <c r="D257" s="156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  <c r="AA257" s="149"/>
      <c r="AB257" s="149"/>
    </row>
    <row r="258">
      <c r="A258" s="149"/>
      <c r="B258" s="149"/>
      <c r="C258" s="155"/>
      <c r="D258" s="156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  <c r="AA258" s="149"/>
      <c r="AB258" s="149"/>
    </row>
    <row r="259">
      <c r="A259" s="149"/>
      <c r="B259" s="149"/>
      <c r="C259" s="155"/>
      <c r="D259" s="156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  <c r="AB259" s="149"/>
    </row>
    <row r="260">
      <c r="A260" s="149"/>
      <c r="B260" s="149"/>
      <c r="C260" s="155"/>
      <c r="D260" s="156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  <c r="AB260" s="149"/>
    </row>
    <row r="261">
      <c r="A261" s="149"/>
      <c r="B261" s="149"/>
      <c r="C261" s="155"/>
      <c r="D261" s="156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  <c r="AA261" s="149"/>
      <c r="AB261" s="149"/>
    </row>
    <row r="262">
      <c r="A262" s="149"/>
      <c r="B262" s="149"/>
      <c r="C262" s="155"/>
      <c r="D262" s="156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49"/>
    </row>
    <row r="263">
      <c r="A263" s="149"/>
      <c r="B263" s="149"/>
      <c r="C263" s="155"/>
      <c r="D263" s="156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</row>
    <row r="264">
      <c r="A264" s="149"/>
      <c r="B264" s="149"/>
      <c r="C264" s="155"/>
      <c r="D264" s="156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  <c r="AA264" s="149"/>
      <c r="AB264" s="149"/>
    </row>
    <row r="265">
      <c r="A265" s="149"/>
      <c r="B265" s="149"/>
      <c r="C265" s="155"/>
      <c r="D265" s="156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  <c r="AA265" s="149"/>
      <c r="AB265" s="149"/>
    </row>
    <row r="266">
      <c r="A266" s="149"/>
      <c r="B266" s="149"/>
      <c r="C266" s="155"/>
      <c r="D266" s="156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  <c r="AB266" s="149"/>
    </row>
    <row r="267">
      <c r="A267" s="149"/>
      <c r="B267" s="149"/>
      <c r="C267" s="155"/>
      <c r="D267" s="156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  <c r="AA267" s="149"/>
      <c r="AB267" s="149"/>
    </row>
    <row r="268">
      <c r="A268" s="149"/>
      <c r="B268" s="149"/>
      <c r="C268" s="155"/>
      <c r="D268" s="156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  <c r="AA268" s="149"/>
      <c r="AB268" s="149"/>
    </row>
    <row r="269">
      <c r="A269" s="149"/>
      <c r="B269" s="149"/>
      <c r="C269" s="155"/>
      <c r="D269" s="156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  <c r="AB269" s="149"/>
    </row>
    <row r="270">
      <c r="A270" s="149"/>
      <c r="B270" s="149"/>
      <c r="C270" s="155"/>
      <c r="D270" s="156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</row>
    <row r="271">
      <c r="A271" s="149"/>
      <c r="B271" s="149"/>
      <c r="C271" s="155"/>
      <c r="D271" s="156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  <c r="AA271" s="149"/>
      <c r="AB271" s="149"/>
    </row>
    <row r="272">
      <c r="A272" s="149"/>
      <c r="B272" s="149"/>
      <c r="C272" s="155"/>
      <c r="D272" s="156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  <c r="AB272" s="149"/>
    </row>
    <row r="273">
      <c r="A273" s="149"/>
      <c r="B273" s="149"/>
      <c r="C273" s="155"/>
      <c r="D273" s="156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  <c r="AB273" s="149"/>
    </row>
    <row r="274">
      <c r="A274" s="149"/>
      <c r="B274" s="149"/>
      <c r="C274" s="155"/>
      <c r="D274" s="156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</row>
    <row r="275">
      <c r="A275" s="149"/>
      <c r="B275" s="149"/>
      <c r="C275" s="155"/>
      <c r="D275" s="156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</row>
    <row r="276">
      <c r="A276" s="149"/>
      <c r="B276" s="149"/>
      <c r="C276" s="155"/>
      <c r="D276" s="156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</row>
    <row r="277">
      <c r="A277" s="149"/>
      <c r="B277" s="149"/>
      <c r="C277" s="155"/>
      <c r="D277" s="156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</row>
    <row r="278">
      <c r="A278" s="149"/>
      <c r="B278" s="149"/>
      <c r="C278" s="155"/>
      <c r="D278" s="156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  <c r="AB278" s="149"/>
    </row>
    <row r="279">
      <c r="A279" s="149"/>
      <c r="B279" s="149"/>
      <c r="C279" s="155"/>
      <c r="D279" s="156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  <c r="AA279" s="149"/>
      <c r="AB279" s="149"/>
    </row>
    <row r="280">
      <c r="A280" s="149"/>
      <c r="B280" s="149"/>
      <c r="C280" s="155"/>
      <c r="D280" s="156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  <c r="AA280" s="149"/>
      <c r="AB280" s="149"/>
    </row>
    <row r="281">
      <c r="A281" s="149"/>
      <c r="B281" s="149"/>
      <c r="C281" s="155"/>
      <c r="D281" s="156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  <c r="AA281" s="149"/>
      <c r="AB281" s="149"/>
    </row>
    <row r="282">
      <c r="A282" s="149"/>
      <c r="B282" s="149"/>
      <c r="C282" s="155"/>
      <c r="D282" s="156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  <c r="AB282" s="149"/>
    </row>
    <row r="283">
      <c r="A283" s="149"/>
      <c r="B283" s="149"/>
      <c r="C283" s="155"/>
      <c r="D283" s="156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</row>
    <row r="284">
      <c r="A284" s="149"/>
      <c r="B284" s="149"/>
      <c r="C284" s="155"/>
      <c r="D284" s="156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  <c r="AA284" s="149"/>
      <c r="AB284" s="149"/>
    </row>
    <row r="285">
      <c r="A285" s="149"/>
      <c r="B285" s="149"/>
      <c r="C285" s="155"/>
      <c r="D285" s="156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  <c r="AA285" s="149"/>
      <c r="AB285" s="149"/>
    </row>
    <row r="286">
      <c r="A286" s="149"/>
      <c r="B286" s="149"/>
      <c r="C286" s="155"/>
      <c r="D286" s="156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  <c r="AA286" s="149"/>
      <c r="AB286" s="149"/>
    </row>
    <row r="287">
      <c r="A287" s="149"/>
      <c r="B287" s="149"/>
      <c r="C287" s="155"/>
      <c r="D287" s="156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  <c r="AA287" s="149"/>
      <c r="AB287" s="149"/>
    </row>
    <row r="288">
      <c r="A288" s="149"/>
      <c r="B288" s="149"/>
      <c r="C288" s="155"/>
      <c r="D288" s="156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  <c r="AA288" s="149"/>
      <c r="AB288" s="149"/>
    </row>
    <row r="289">
      <c r="A289" s="149"/>
      <c r="B289" s="149"/>
      <c r="C289" s="155"/>
      <c r="D289" s="156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  <c r="AB289" s="149"/>
    </row>
    <row r="290">
      <c r="A290" s="149"/>
      <c r="B290" s="149"/>
      <c r="C290" s="155"/>
      <c r="D290" s="156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  <c r="AA290" s="149"/>
      <c r="AB290" s="149"/>
    </row>
    <row r="291">
      <c r="A291" s="149"/>
      <c r="B291" s="149"/>
      <c r="C291" s="155"/>
      <c r="D291" s="156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  <c r="AB291" s="149"/>
    </row>
    <row r="292">
      <c r="A292" s="149"/>
      <c r="B292" s="149"/>
      <c r="C292" s="155"/>
      <c r="D292" s="156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  <c r="AA292" s="149"/>
      <c r="AB292" s="149"/>
    </row>
    <row r="293">
      <c r="A293" s="149"/>
      <c r="B293" s="149"/>
      <c r="C293" s="155"/>
      <c r="D293" s="156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  <c r="AB293" s="149"/>
    </row>
    <row r="294">
      <c r="A294" s="149"/>
      <c r="B294" s="149"/>
      <c r="C294" s="155"/>
      <c r="D294" s="156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  <c r="AB294" s="149"/>
    </row>
    <row r="295">
      <c r="A295" s="149"/>
      <c r="B295" s="149"/>
      <c r="C295" s="155"/>
      <c r="D295" s="156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  <c r="AA295" s="149"/>
      <c r="AB295" s="149"/>
    </row>
    <row r="296">
      <c r="A296" s="149"/>
      <c r="B296" s="149"/>
      <c r="C296" s="155"/>
      <c r="D296" s="156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  <c r="AA296" s="149"/>
      <c r="AB296" s="149"/>
    </row>
    <row r="297">
      <c r="A297" s="149"/>
      <c r="B297" s="149"/>
      <c r="C297" s="155"/>
      <c r="D297" s="156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  <c r="AA297" s="149"/>
      <c r="AB297" s="149"/>
    </row>
    <row r="298">
      <c r="A298" s="149"/>
      <c r="B298" s="149"/>
      <c r="C298" s="155"/>
      <c r="D298" s="156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  <c r="AA298" s="149"/>
      <c r="AB298" s="149"/>
    </row>
    <row r="299">
      <c r="A299" s="149"/>
      <c r="B299" s="149"/>
      <c r="C299" s="155"/>
      <c r="D299" s="156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  <c r="AA299" s="149"/>
      <c r="AB299" s="149"/>
    </row>
    <row r="300">
      <c r="A300" s="149"/>
      <c r="B300" s="149"/>
      <c r="C300" s="155"/>
      <c r="D300" s="156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  <c r="AA300" s="149"/>
      <c r="AB300" s="149"/>
    </row>
    <row r="301">
      <c r="A301" s="149"/>
      <c r="B301" s="149"/>
      <c r="C301" s="155"/>
      <c r="D301" s="156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  <c r="AA301" s="149"/>
      <c r="AB301" s="149"/>
    </row>
    <row r="302">
      <c r="A302" s="149"/>
      <c r="B302" s="149"/>
      <c r="C302" s="155"/>
      <c r="D302" s="156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  <c r="AA302" s="149"/>
      <c r="AB302" s="149"/>
    </row>
    <row r="303">
      <c r="A303" s="149"/>
      <c r="B303" s="149"/>
      <c r="C303" s="155"/>
      <c r="D303" s="156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  <c r="AA303" s="149"/>
      <c r="AB303" s="149"/>
    </row>
    <row r="304">
      <c r="A304" s="149"/>
      <c r="B304" s="149"/>
      <c r="C304" s="155"/>
      <c r="D304" s="156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  <c r="AA304" s="149"/>
      <c r="AB304" s="149"/>
    </row>
    <row r="305">
      <c r="A305" s="149"/>
      <c r="B305" s="149"/>
      <c r="C305" s="155"/>
      <c r="D305" s="156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  <c r="AA305" s="149"/>
      <c r="AB305" s="149"/>
    </row>
    <row r="306">
      <c r="A306" s="149"/>
      <c r="B306" s="149"/>
      <c r="C306" s="155"/>
      <c r="D306" s="156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  <c r="AB306" s="149"/>
    </row>
    <row r="307">
      <c r="A307" s="149"/>
      <c r="B307" s="149"/>
      <c r="C307" s="155"/>
      <c r="D307" s="156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  <c r="AA307" s="149"/>
      <c r="AB307" s="149"/>
    </row>
    <row r="308">
      <c r="A308" s="149"/>
      <c r="B308" s="149"/>
      <c r="C308" s="155"/>
      <c r="D308" s="156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  <c r="AA308" s="149"/>
      <c r="AB308" s="149"/>
    </row>
    <row r="309">
      <c r="A309" s="149"/>
      <c r="B309" s="149"/>
      <c r="C309" s="155"/>
      <c r="D309" s="156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  <c r="AA309" s="149"/>
      <c r="AB309" s="149"/>
    </row>
    <row r="310">
      <c r="A310" s="149"/>
      <c r="B310" s="149"/>
      <c r="C310" s="155"/>
      <c r="D310" s="156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  <c r="AA310" s="149"/>
      <c r="AB310" s="149"/>
    </row>
    <row r="311">
      <c r="A311" s="149"/>
      <c r="B311" s="149"/>
      <c r="C311" s="155"/>
      <c r="D311" s="156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  <c r="AA311" s="149"/>
      <c r="AB311" s="149"/>
    </row>
    <row r="312">
      <c r="A312" s="149"/>
      <c r="B312" s="149"/>
      <c r="C312" s="155"/>
      <c r="D312" s="156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  <c r="AA312" s="149"/>
      <c r="AB312" s="149"/>
    </row>
    <row r="313">
      <c r="A313" s="149"/>
      <c r="B313" s="149"/>
      <c r="C313" s="155"/>
      <c r="D313" s="156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  <c r="AA313" s="149"/>
      <c r="AB313" s="149"/>
    </row>
    <row r="314">
      <c r="A314" s="149"/>
      <c r="B314" s="149"/>
      <c r="C314" s="155"/>
      <c r="D314" s="156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  <c r="AA314" s="149"/>
      <c r="AB314" s="149"/>
    </row>
    <row r="315">
      <c r="A315" s="149"/>
      <c r="B315" s="149"/>
      <c r="C315" s="155"/>
      <c r="D315" s="156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  <c r="AA315" s="149"/>
      <c r="AB315" s="149"/>
    </row>
    <row r="316">
      <c r="A316" s="149"/>
      <c r="B316" s="149"/>
      <c r="C316" s="155"/>
      <c r="D316" s="156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  <c r="AA316" s="149"/>
      <c r="AB316" s="149"/>
    </row>
    <row r="317">
      <c r="A317" s="149"/>
      <c r="B317" s="149"/>
      <c r="C317" s="155"/>
      <c r="D317" s="156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  <c r="AA317" s="149"/>
      <c r="AB317" s="149"/>
    </row>
    <row r="318">
      <c r="A318" s="149"/>
      <c r="B318" s="149"/>
      <c r="C318" s="155"/>
      <c r="D318" s="156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  <c r="AB318" s="149"/>
    </row>
    <row r="319">
      <c r="A319" s="149"/>
      <c r="B319" s="149"/>
      <c r="C319" s="155"/>
      <c r="D319" s="156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  <c r="AA319" s="149"/>
      <c r="AB319" s="149"/>
    </row>
    <row r="320">
      <c r="A320" s="149"/>
      <c r="B320" s="149"/>
      <c r="C320" s="155"/>
      <c r="D320" s="156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  <c r="AB320" s="149"/>
    </row>
    <row r="321">
      <c r="A321" s="149"/>
      <c r="B321" s="149"/>
      <c r="C321" s="155"/>
      <c r="D321" s="156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  <c r="AA321" s="149"/>
      <c r="AB321" s="149"/>
    </row>
    <row r="322">
      <c r="A322" s="149"/>
      <c r="B322" s="149"/>
      <c r="C322" s="155"/>
      <c r="D322" s="156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  <c r="AB322" s="149"/>
    </row>
    <row r="323">
      <c r="A323" s="149"/>
      <c r="B323" s="149"/>
      <c r="C323" s="155"/>
      <c r="D323" s="156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  <c r="AA323" s="149"/>
      <c r="AB323" s="149"/>
    </row>
    <row r="324">
      <c r="A324" s="149"/>
      <c r="B324" s="149"/>
      <c r="C324" s="155"/>
      <c r="D324" s="156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  <c r="AB324" s="149"/>
    </row>
    <row r="325">
      <c r="A325" s="149"/>
      <c r="B325" s="149"/>
      <c r="C325" s="155"/>
      <c r="D325" s="156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  <c r="AB325" s="149"/>
    </row>
    <row r="326">
      <c r="A326" s="149"/>
      <c r="B326" s="149"/>
      <c r="C326" s="155"/>
      <c r="D326" s="156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</row>
    <row r="327">
      <c r="A327" s="149"/>
      <c r="B327" s="149"/>
      <c r="C327" s="155"/>
      <c r="D327" s="156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</row>
    <row r="328">
      <c r="A328" s="149"/>
      <c r="B328" s="149"/>
      <c r="C328" s="155"/>
      <c r="D328" s="156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</row>
    <row r="329">
      <c r="A329" s="149"/>
      <c r="B329" s="149"/>
      <c r="C329" s="155"/>
      <c r="D329" s="156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</row>
    <row r="330">
      <c r="A330" s="149"/>
      <c r="B330" s="149"/>
      <c r="C330" s="155"/>
      <c r="D330" s="156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</row>
    <row r="331">
      <c r="A331" s="149"/>
      <c r="B331" s="149"/>
      <c r="C331" s="155"/>
      <c r="D331" s="156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  <c r="AA331" s="149"/>
      <c r="AB331" s="149"/>
    </row>
    <row r="332">
      <c r="A332" s="149"/>
      <c r="B332" s="149"/>
      <c r="C332" s="155"/>
      <c r="D332" s="156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  <c r="AA332" s="149"/>
      <c r="AB332" s="149"/>
    </row>
    <row r="333">
      <c r="A333" s="149"/>
      <c r="B333" s="149"/>
      <c r="C333" s="155"/>
      <c r="D333" s="156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  <c r="AB333" s="149"/>
    </row>
    <row r="334">
      <c r="A334" s="149"/>
      <c r="B334" s="149"/>
      <c r="C334" s="155"/>
      <c r="D334" s="156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  <c r="AA334" s="149"/>
      <c r="AB334" s="149"/>
    </row>
    <row r="335">
      <c r="A335" s="149"/>
      <c r="B335" s="149"/>
      <c r="C335" s="155"/>
      <c r="D335" s="156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  <c r="AA335" s="149"/>
      <c r="AB335" s="149"/>
    </row>
    <row r="336">
      <c r="A336" s="149"/>
      <c r="B336" s="149"/>
      <c r="C336" s="155"/>
      <c r="D336" s="156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  <c r="AA336" s="149"/>
      <c r="AB336" s="149"/>
    </row>
    <row r="337">
      <c r="A337" s="149"/>
      <c r="B337" s="149"/>
      <c r="C337" s="155"/>
      <c r="D337" s="156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  <c r="AA337" s="149"/>
      <c r="AB337" s="149"/>
    </row>
    <row r="338">
      <c r="A338" s="149"/>
      <c r="B338" s="149"/>
      <c r="C338" s="155"/>
      <c r="D338" s="156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  <c r="AA338" s="149"/>
      <c r="AB338" s="149"/>
    </row>
    <row r="339">
      <c r="A339" s="149"/>
      <c r="B339" s="149"/>
      <c r="C339" s="155"/>
      <c r="D339" s="156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  <c r="AA339" s="149"/>
      <c r="AB339" s="149"/>
    </row>
    <row r="340">
      <c r="A340" s="149"/>
      <c r="B340" s="149"/>
      <c r="C340" s="155"/>
      <c r="D340" s="156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  <c r="AA340" s="149"/>
      <c r="AB340" s="149"/>
    </row>
    <row r="341">
      <c r="A341" s="149"/>
      <c r="B341" s="149"/>
      <c r="C341" s="155"/>
      <c r="D341" s="156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  <c r="AA341" s="149"/>
      <c r="AB341" s="149"/>
    </row>
    <row r="342">
      <c r="A342" s="149"/>
      <c r="B342" s="149"/>
      <c r="C342" s="155"/>
      <c r="D342" s="156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  <c r="AA342" s="149"/>
      <c r="AB342" s="149"/>
    </row>
    <row r="343">
      <c r="A343" s="149"/>
      <c r="B343" s="149"/>
      <c r="C343" s="155"/>
      <c r="D343" s="156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  <c r="AA343" s="149"/>
      <c r="AB343" s="149"/>
    </row>
    <row r="344">
      <c r="A344" s="149"/>
      <c r="B344" s="149"/>
      <c r="C344" s="155"/>
      <c r="D344" s="156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  <c r="AA344" s="149"/>
      <c r="AB344" s="149"/>
    </row>
    <row r="345">
      <c r="A345" s="149"/>
      <c r="B345" s="149"/>
      <c r="C345" s="155"/>
      <c r="D345" s="156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  <c r="AB345" s="149"/>
    </row>
    <row r="346">
      <c r="A346" s="149"/>
      <c r="B346" s="149"/>
      <c r="C346" s="155"/>
      <c r="D346" s="156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  <c r="AA346" s="149"/>
      <c r="AB346" s="149"/>
    </row>
    <row r="347">
      <c r="A347" s="149"/>
      <c r="B347" s="149"/>
      <c r="C347" s="155"/>
      <c r="D347" s="156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  <c r="AA347" s="149"/>
      <c r="AB347" s="149"/>
    </row>
    <row r="348">
      <c r="A348" s="149"/>
      <c r="B348" s="149"/>
      <c r="C348" s="155"/>
      <c r="D348" s="156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  <c r="AA348" s="149"/>
      <c r="AB348" s="149"/>
    </row>
    <row r="349">
      <c r="A349" s="149"/>
      <c r="B349" s="149"/>
      <c r="C349" s="155"/>
      <c r="D349" s="156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  <c r="AB349" s="149"/>
    </row>
    <row r="350">
      <c r="A350" s="149"/>
      <c r="B350" s="149"/>
      <c r="C350" s="155"/>
      <c r="D350" s="156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  <c r="AB350" s="149"/>
    </row>
    <row r="351">
      <c r="A351" s="149"/>
      <c r="B351" s="149"/>
      <c r="C351" s="155"/>
      <c r="D351" s="156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  <c r="AA351" s="149"/>
      <c r="AB351" s="149"/>
    </row>
    <row r="352">
      <c r="A352" s="149"/>
      <c r="B352" s="149"/>
      <c r="C352" s="155"/>
      <c r="D352" s="156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  <c r="AA352" s="149"/>
      <c r="AB352" s="149"/>
    </row>
    <row r="353">
      <c r="A353" s="149"/>
      <c r="B353" s="149"/>
      <c r="C353" s="155"/>
      <c r="D353" s="156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  <c r="AB353" s="149"/>
    </row>
    <row r="354">
      <c r="A354" s="149"/>
      <c r="B354" s="149"/>
      <c r="C354" s="155"/>
      <c r="D354" s="156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  <c r="AA354" s="149"/>
      <c r="AB354" s="149"/>
    </row>
    <row r="355">
      <c r="A355" s="149"/>
      <c r="B355" s="149"/>
      <c r="C355" s="155"/>
      <c r="D355" s="156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  <c r="AA355" s="149"/>
      <c r="AB355" s="149"/>
    </row>
    <row r="356">
      <c r="A356" s="149"/>
      <c r="B356" s="149"/>
      <c r="C356" s="155"/>
      <c r="D356" s="156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  <c r="AA356" s="149"/>
      <c r="AB356" s="149"/>
    </row>
    <row r="357">
      <c r="A357" s="149"/>
      <c r="B357" s="149"/>
      <c r="C357" s="155"/>
      <c r="D357" s="156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  <c r="AB357" s="149"/>
    </row>
    <row r="358">
      <c r="A358" s="149"/>
      <c r="B358" s="149"/>
      <c r="C358" s="155"/>
      <c r="D358" s="156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  <c r="AA358" s="149"/>
      <c r="AB358" s="149"/>
    </row>
    <row r="359">
      <c r="A359" s="149"/>
      <c r="B359" s="149"/>
      <c r="C359" s="155"/>
      <c r="D359" s="156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  <c r="AA359" s="149"/>
      <c r="AB359" s="149"/>
    </row>
    <row r="360">
      <c r="A360" s="149"/>
      <c r="B360" s="149"/>
      <c r="C360" s="155"/>
      <c r="D360" s="156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  <c r="AB360" s="149"/>
    </row>
    <row r="361">
      <c r="A361" s="149"/>
      <c r="B361" s="149"/>
      <c r="C361" s="155"/>
      <c r="D361" s="156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  <c r="AB361" s="149"/>
    </row>
    <row r="362">
      <c r="A362" s="149"/>
      <c r="B362" s="149"/>
      <c r="C362" s="155"/>
      <c r="D362" s="156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  <c r="AB362" s="149"/>
    </row>
    <row r="363">
      <c r="A363" s="149"/>
      <c r="B363" s="149"/>
      <c r="C363" s="155"/>
      <c r="D363" s="156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  <c r="AB363" s="149"/>
    </row>
    <row r="364">
      <c r="A364" s="149"/>
      <c r="B364" s="149"/>
      <c r="C364" s="155"/>
      <c r="D364" s="156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  <c r="AB364" s="149"/>
    </row>
    <row r="365">
      <c r="A365" s="149"/>
      <c r="B365" s="149"/>
      <c r="C365" s="155"/>
      <c r="D365" s="156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  <c r="AB365" s="149"/>
    </row>
    <row r="366">
      <c r="A366" s="149"/>
      <c r="B366" s="149"/>
      <c r="C366" s="155"/>
      <c r="D366" s="156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  <c r="AB366" s="149"/>
    </row>
    <row r="367">
      <c r="A367" s="149"/>
      <c r="B367" s="149"/>
      <c r="C367" s="155"/>
      <c r="D367" s="156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  <c r="AB367" s="149"/>
    </row>
    <row r="368">
      <c r="A368" s="149"/>
      <c r="B368" s="149"/>
      <c r="C368" s="155"/>
      <c r="D368" s="156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  <c r="AA368" s="149"/>
      <c r="AB368" s="149"/>
    </row>
    <row r="369">
      <c r="A369" s="149"/>
      <c r="B369" s="149"/>
      <c r="C369" s="155"/>
      <c r="D369" s="156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  <c r="AB369" s="149"/>
    </row>
    <row r="370">
      <c r="A370" s="149"/>
      <c r="B370" s="149"/>
      <c r="C370" s="155"/>
      <c r="D370" s="156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  <c r="AA370" s="149"/>
      <c r="AB370" s="149"/>
    </row>
    <row r="371">
      <c r="A371" s="149"/>
      <c r="B371" s="149"/>
      <c r="C371" s="155"/>
      <c r="D371" s="156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  <c r="AB371" s="149"/>
    </row>
    <row r="372">
      <c r="A372" s="149"/>
      <c r="B372" s="149"/>
      <c r="C372" s="155"/>
      <c r="D372" s="156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  <c r="AA372" s="149"/>
      <c r="AB372" s="149"/>
    </row>
    <row r="373">
      <c r="A373" s="149"/>
      <c r="B373" s="149"/>
      <c r="C373" s="155"/>
      <c r="D373" s="156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  <c r="AB373" s="149"/>
    </row>
    <row r="374">
      <c r="A374" s="149"/>
      <c r="B374" s="149"/>
      <c r="C374" s="155"/>
      <c r="D374" s="156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  <c r="AA374" s="149"/>
      <c r="AB374" s="149"/>
    </row>
    <row r="375">
      <c r="A375" s="149"/>
      <c r="B375" s="149"/>
      <c r="C375" s="155"/>
      <c r="D375" s="156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  <c r="AA375" s="149"/>
      <c r="AB375" s="149"/>
    </row>
    <row r="376">
      <c r="A376" s="149"/>
      <c r="B376" s="149"/>
      <c r="C376" s="155"/>
      <c r="D376" s="156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  <c r="AB376" s="149"/>
    </row>
    <row r="377">
      <c r="A377" s="149"/>
      <c r="B377" s="149"/>
      <c r="C377" s="155"/>
      <c r="D377" s="156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  <c r="AB377" s="149"/>
    </row>
    <row r="378">
      <c r="A378" s="149"/>
      <c r="B378" s="149"/>
      <c r="C378" s="155"/>
      <c r="D378" s="156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</row>
    <row r="379">
      <c r="A379" s="149"/>
      <c r="B379" s="149"/>
      <c r="C379" s="155"/>
      <c r="D379" s="156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</row>
    <row r="380">
      <c r="A380" s="149"/>
      <c r="B380" s="149"/>
      <c r="C380" s="155"/>
      <c r="D380" s="156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</row>
    <row r="381">
      <c r="A381" s="149"/>
      <c r="B381" s="149"/>
      <c r="C381" s="155"/>
      <c r="D381" s="156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</row>
    <row r="382">
      <c r="A382" s="149"/>
      <c r="B382" s="149"/>
      <c r="C382" s="155"/>
      <c r="D382" s="156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  <c r="AB382" s="149"/>
    </row>
    <row r="383">
      <c r="A383" s="149"/>
      <c r="B383" s="149"/>
      <c r="C383" s="155"/>
      <c r="D383" s="156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  <c r="AA383" s="149"/>
      <c r="AB383" s="149"/>
    </row>
    <row r="384">
      <c r="A384" s="149"/>
      <c r="B384" s="149"/>
      <c r="C384" s="155"/>
      <c r="D384" s="156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  <c r="AA384" s="149"/>
      <c r="AB384" s="149"/>
    </row>
    <row r="385">
      <c r="A385" s="149"/>
      <c r="B385" s="149"/>
      <c r="C385" s="155"/>
      <c r="D385" s="156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  <c r="AB385" s="149"/>
    </row>
    <row r="386">
      <c r="A386" s="149"/>
      <c r="B386" s="149"/>
      <c r="C386" s="155"/>
      <c r="D386" s="156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  <c r="AA386" s="149"/>
      <c r="AB386" s="149"/>
    </row>
    <row r="387">
      <c r="A387" s="149"/>
      <c r="B387" s="149"/>
      <c r="C387" s="155"/>
      <c r="D387" s="156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  <c r="AA387" s="149"/>
      <c r="AB387" s="149"/>
    </row>
    <row r="388">
      <c r="A388" s="149"/>
      <c r="B388" s="149"/>
      <c r="C388" s="155"/>
      <c r="D388" s="156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  <c r="AB388" s="149"/>
    </row>
    <row r="389">
      <c r="A389" s="149"/>
      <c r="B389" s="149"/>
      <c r="C389" s="155"/>
      <c r="D389" s="156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  <c r="AA389" s="149"/>
      <c r="AB389" s="149"/>
    </row>
    <row r="390">
      <c r="A390" s="149"/>
      <c r="B390" s="149"/>
      <c r="C390" s="155"/>
      <c r="D390" s="156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  <c r="AB390" s="149"/>
    </row>
    <row r="391">
      <c r="A391" s="149"/>
      <c r="B391" s="149"/>
      <c r="C391" s="155"/>
      <c r="D391" s="156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  <c r="AA391" s="149"/>
      <c r="AB391" s="149"/>
    </row>
    <row r="392">
      <c r="A392" s="149"/>
      <c r="B392" s="149"/>
      <c r="C392" s="155"/>
      <c r="D392" s="156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  <c r="AA392" s="149"/>
      <c r="AB392" s="149"/>
    </row>
    <row r="393">
      <c r="A393" s="149"/>
      <c r="B393" s="149"/>
      <c r="C393" s="155"/>
      <c r="D393" s="156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  <c r="AB393" s="149"/>
    </row>
    <row r="394">
      <c r="A394" s="149"/>
      <c r="B394" s="149"/>
      <c r="C394" s="155"/>
      <c r="D394" s="156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  <c r="AA394" s="149"/>
      <c r="AB394" s="149"/>
    </row>
    <row r="395">
      <c r="A395" s="149"/>
      <c r="B395" s="149"/>
      <c r="C395" s="155"/>
      <c r="D395" s="156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  <c r="AB395" s="149"/>
    </row>
    <row r="396">
      <c r="A396" s="149"/>
      <c r="B396" s="149"/>
      <c r="C396" s="155"/>
      <c r="D396" s="156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  <c r="AB396" s="149"/>
    </row>
    <row r="397">
      <c r="A397" s="149"/>
      <c r="B397" s="149"/>
      <c r="C397" s="155"/>
      <c r="D397" s="156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  <c r="AA397" s="149"/>
      <c r="AB397" s="149"/>
    </row>
    <row r="398">
      <c r="A398" s="149"/>
      <c r="B398" s="149"/>
      <c r="C398" s="155"/>
      <c r="D398" s="156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</row>
    <row r="399">
      <c r="A399" s="149"/>
      <c r="B399" s="149"/>
      <c r="C399" s="155"/>
      <c r="D399" s="156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  <c r="AB399" s="149"/>
    </row>
    <row r="400">
      <c r="A400" s="149"/>
      <c r="B400" s="149"/>
      <c r="C400" s="155"/>
      <c r="D400" s="156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  <c r="AB400" s="149"/>
    </row>
    <row r="401">
      <c r="A401" s="149"/>
      <c r="B401" s="149"/>
      <c r="C401" s="155"/>
      <c r="D401" s="156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  <c r="AB401" s="149"/>
    </row>
    <row r="402">
      <c r="A402" s="149"/>
      <c r="B402" s="149"/>
      <c r="C402" s="155"/>
      <c r="D402" s="156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  <c r="AB402" s="149"/>
    </row>
    <row r="403">
      <c r="A403" s="149"/>
      <c r="B403" s="149"/>
      <c r="C403" s="155"/>
      <c r="D403" s="156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  <c r="AB403" s="149"/>
    </row>
    <row r="404">
      <c r="A404" s="149"/>
      <c r="B404" s="149"/>
      <c r="C404" s="155"/>
      <c r="D404" s="156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  <c r="AB404" s="149"/>
    </row>
    <row r="405">
      <c r="A405" s="149"/>
      <c r="B405" s="149"/>
      <c r="C405" s="155"/>
      <c r="D405" s="156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  <c r="AB405" s="149"/>
    </row>
    <row r="406">
      <c r="A406" s="149"/>
      <c r="B406" s="149"/>
      <c r="C406" s="155"/>
      <c r="D406" s="156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  <c r="AA406" s="149"/>
      <c r="AB406" s="149"/>
    </row>
    <row r="407">
      <c r="A407" s="149"/>
      <c r="B407" s="149"/>
      <c r="C407" s="155"/>
      <c r="D407" s="156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  <c r="AA407" s="149"/>
      <c r="AB407" s="149"/>
    </row>
    <row r="408">
      <c r="A408" s="149"/>
      <c r="B408" s="149"/>
      <c r="C408" s="155"/>
      <c r="D408" s="156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  <c r="AA408" s="149"/>
      <c r="AB408" s="149"/>
    </row>
    <row r="409">
      <c r="A409" s="149"/>
      <c r="B409" s="149"/>
      <c r="C409" s="155"/>
      <c r="D409" s="156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  <c r="AA409" s="149"/>
      <c r="AB409" s="149"/>
    </row>
    <row r="410">
      <c r="A410" s="149"/>
      <c r="B410" s="149"/>
      <c r="C410" s="155"/>
      <c r="D410" s="156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  <c r="AA410" s="149"/>
      <c r="AB410" s="149"/>
    </row>
    <row r="411">
      <c r="A411" s="149"/>
      <c r="B411" s="149"/>
      <c r="C411" s="155"/>
      <c r="D411" s="156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  <c r="AA411" s="149"/>
      <c r="AB411" s="149"/>
    </row>
    <row r="412">
      <c r="A412" s="149"/>
      <c r="B412" s="149"/>
      <c r="C412" s="155"/>
      <c r="D412" s="156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  <c r="AA412" s="149"/>
      <c r="AB412" s="149"/>
    </row>
    <row r="413">
      <c r="A413" s="149"/>
      <c r="B413" s="149"/>
      <c r="C413" s="155"/>
      <c r="D413" s="156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  <c r="AA413" s="149"/>
      <c r="AB413" s="149"/>
    </row>
    <row r="414">
      <c r="A414" s="149"/>
      <c r="B414" s="149"/>
      <c r="C414" s="155"/>
      <c r="D414" s="156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  <c r="AA414" s="149"/>
      <c r="AB414" s="149"/>
    </row>
    <row r="415">
      <c r="A415" s="149"/>
      <c r="B415" s="149"/>
      <c r="C415" s="155"/>
      <c r="D415" s="156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  <c r="AA415" s="149"/>
      <c r="AB415" s="149"/>
    </row>
    <row r="416">
      <c r="A416" s="149"/>
      <c r="B416" s="149"/>
      <c r="C416" s="155"/>
      <c r="D416" s="156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  <c r="AA416" s="149"/>
      <c r="AB416" s="149"/>
    </row>
    <row r="417">
      <c r="A417" s="149"/>
      <c r="B417" s="149"/>
      <c r="C417" s="155"/>
      <c r="D417" s="156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  <c r="AA417" s="149"/>
      <c r="AB417" s="149"/>
    </row>
    <row r="418">
      <c r="A418" s="149"/>
      <c r="B418" s="149"/>
      <c r="C418" s="155"/>
      <c r="D418" s="156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  <c r="AB418" s="149"/>
    </row>
    <row r="419">
      <c r="A419" s="149"/>
      <c r="B419" s="149"/>
      <c r="C419" s="155"/>
      <c r="D419" s="156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  <c r="AB419" s="149"/>
    </row>
    <row r="420">
      <c r="A420" s="149"/>
      <c r="B420" s="149"/>
      <c r="C420" s="155"/>
      <c r="D420" s="156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  <c r="AB420" s="149"/>
    </row>
    <row r="421">
      <c r="A421" s="149"/>
      <c r="B421" s="149"/>
      <c r="C421" s="155"/>
      <c r="D421" s="156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  <c r="AA421" s="149"/>
      <c r="AB421" s="149"/>
    </row>
    <row r="422">
      <c r="A422" s="149"/>
      <c r="B422" s="149"/>
      <c r="C422" s="155"/>
      <c r="D422" s="156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  <c r="AA422" s="149"/>
      <c r="AB422" s="149"/>
    </row>
    <row r="423">
      <c r="A423" s="149"/>
      <c r="B423" s="149"/>
      <c r="C423" s="155"/>
      <c r="D423" s="156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  <c r="AA423" s="149"/>
      <c r="AB423" s="149"/>
    </row>
    <row r="424">
      <c r="A424" s="149"/>
      <c r="B424" s="149"/>
      <c r="C424" s="155"/>
      <c r="D424" s="156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  <c r="AA424" s="149"/>
      <c r="AB424" s="149"/>
    </row>
    <row r="425">
      <c r="A425" s="149"/>
      <c r="B425" s="149"/>
      <c r="C425" s="155"/>
      <c r="D425" s="156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  <c r="AA425" s="149"/>
      <c r="AB425" s="149"/>
    </row>
    <row r="426">
      <c r="A426" s="149"/>
      <c r="B426" s="149"/>
      <c r="C426" s="155"/>
      <c r="D426" s="156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  <c r="AA426" s="149"/>
      <c r="AB426" s="149"/>
    </row>
    <row r="427">
      <c r="A427" s="149"/>
      <c r="B427" s="149"/>
      <c r="C427" s="155"/>
      <c r="D427" s="156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  <c r="AA427" s="149"/>
      <c r="AB427" s="149"/>
    </row>
    <row r="428">
      <c r="A428" s="149"/>
      <c r="B428" s="149"/>
      <c r="C428" s="155"/>
      <c r="D428" s="156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  <c r="AB428" s="149"/>
    </row>
    <row r="429">
      <c r="A429" s="149"/>
      <c r="B429" s="149"/>
      <c r="C429" s="155"/>
      <c r="D429" s="156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  <c r="AB429" s="149"/>
    </row>
    <row r="430">
      <c r="A430" s="149"/>
      <c r="B430" s="149"/>
      <c r="C430" s="155"/>
      <c r="D430" s="156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</row>
    <row r="431">
      <c r="A431" s="149"/>
      <c r="B431" s="149"/>
      <c r="C431" s="155"/>
      <c r="D431" s="156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</row>
    <row r="432">
      <c r="A432" s="149"/>
      <c r="B432" s="149"/>
      <c r="C432" s="155"/>
      <c r="D432" s="156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</row>
    <row r="433">
      <c r="A433" s="149"/>
      <c r="B433" s="149"/>
      <c r="C433" s="155"/>
      <c r="D433" s="156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</row>
    <row r="434">
      <c r="A434" s="149"/>
      <c r="B434" s="149"/>
      <c r="C434" s="155"/>
      <c r="D434" s="156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  <c r="AB434" s="149"/>
    </row>
    <row r="435">
      <c r="A435" s="149"/>
      <c r="B435" s="149"/>
      <c r="C435" s="155"/>
      <c r="D435" s="156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  <c r="AB435" s="149"/>
    </row>
    <row r="436">
      <c r="A436" s="149"/>
      <c r="B436" s="149"/>
      <c r="C436" s="155"/>
      <c r="D436" s="156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  <c r="AA436" s="149"/>
      <c r="AB436" s="149"/>
    </row>
    <row r="437">
      <c r="A437" s="149"/>
      <c r="B437" s="149"/>
      <c r="C437" s="155"/>
      <c r="D437" s="156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  <c r="AA437" s="149"/>
      <c r="AB437" s="149"/>
    </row>
    <row r="438">
      <c r="A438" s="149"/>
      <c r="B438" s="149"/>
      <c r="C438" s="155"/>
      <c r="D438" s="156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  <c r="AA438" s="149"/>
      <c r="AB438" s="149"/>
    </row>
    <row r="439">
      <c r="A439" s="149"/>
      <c r="B439" s="149"/>
      <c r="C439" s="155"/>
      <c r="D439" s="156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  <c r="AA439" s="149"/>
      <c r="AB439" s="149"/>
    </row>
    <row r="440">
      <c r="A440" s="149"/>
      <c r="B440" s="149"/>
      <c r="C440" s="155"/>
      <c r="D440" s="156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  <c r="AA440" s="149"/>
      <c r="AB440" s="149"/>
    </row>
    <row r="441">
      <c r="A441" s="149"/>
      <c r="B441" s="149"/>
      <c r="C441" s="155"/>
      <c r="D441" s="156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  <c r="AA441" s="149"/>
      <c r="AB441" s="149"/>
    </row>
    <row r="442">
      <c r="A442" s="149"/>
      <c r="B442" s="149"/>
      <c r="C442" s="155"/>
      <c r="D442" s="156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  <c r="AA442" s="149"/>
      <c r="AB442" s="149"/>
    </row>
    <row r="443">
      <c r="A443" s="149"/>
      <c r="B443" s="149"/>
      <c r="C443" s="155"/>
      <c r="D443" s="156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  <c r="AA443" s="149"/>
      <c r="AB443" s="149"/>
    </row>
    <row r="444">
      <c r="A444" s="149"/>
      <c r="B444" s="149"/>
      <c r="C444" s="155"/>
      <c r="D444" s="156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  <c r="AA444" s="149"/>
      <c r="AB444" s="149"/>
    </row>
    <row r="445">
      <c r="A445" s="149"/>
      <c r="B445" s="149"/>
      <c r="C445" s="155"/>
      <c r="D445" s="156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  <c r="AA445" s="149"/>
      <c r="AB445" s="149"/>
    </row>
    <row r="446">
      <c r="A446" s="149"/>
      <c r="B446" s="149"/>
      <c r="C446" s="155"/>
      <c r="D446" s="156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  <c r="AA446" s="149"/>
      <c r="AB446" s="149"/>
    </row>
    <row r="447">
      <c r="A447" s="149"/>
      <c r="B447" s="149"/>
      <c r="C447" s="155"/>
      <c r="D447" s="156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  <c r="AA447" s="149"/>
      <c r="AB447" s="149"/>
    </row>
    <row r="448">
      <c r="A448" s="149"/>
      <c r="B448" s="149"/>
      <c r="C448" s="155"/>
      <c r="D448" s="156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  <c r="AA448" s="149"/>
      <c r="AB448" s="149"/>
    </row>
    <row r="449">
      <c r="A449" s="149"/>
      <c r="B449" s="149"/>
      <c r="C449" s="155"/>
      <c r="D449" s="156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  <c r="AB449" s="149"/>
    </row>
    <row r="450">
      <c r="A450" s="149"/>
      <c r="B450" s="149"/>
      <c r="C450" s="155"/>
      <c r="D450" s="156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  <c r="AA450" s="149"/>
      <c r="AB450" s="149"/>
    </row>
    <row r="451">
      <c r="A451" s="149"/>
      <c r="B451" s="149"/>
      <c r="C451" s="155"/>
      <c r="D451" s="156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  <c r="AA451" s="149"/>
      <c r="AB451" s="149"/>
    </row>
    <row r="452">
      <c r="A452" s="149"/>
      <c r="B452" s="149"/>
      <c r="C452" s="155"/>
      <c r="D452" s="156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  <c r="AA452" s="149"/>
      <c r="AB452" s="149"/>
    </row>
    <row r="453">
      <c r="A453" s="149"/>
      <c r="B453" s="149"/>
      <c r="C453" s="155"/>
      <c r="D453" s="156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  <c r="AA453" s="149"/>
      <c r="AB453" s="149"/>
    </row>
    <row r="454">
      <c r="A454" s="149"/>
      <c r="B454" s="149"/>
      <c r="C454" s="155"/>
      <c r="D454" s="156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  <c r="AB454" s="149"/>
    </row>
    <row r="455">
      <c r="A455" s="149"/>
      <c r="B455" s="149"/>
      <c r="C455" s="155"/>
      <c r="D455" s="156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  <c r="AB455" s="149"/>
    </row>
    <row r="456">
      <c r="A456" s="149"/>
      <c r="B456" s="149"/>
      <c r="C456" s="155"/>
      <c r="D456" s="156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  <c r="AB456" s="149"/>
    </row>
    <row r="457">
      <c r="A457" s="149"/>
      <c r="B457" s="149"/>
      <c r="C457" s="155"/>
      <c r="D457" s="156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  <c r="AB457" s="149"/>
    </row>
    <row r="458">
      <c r="A458" s="149"/>
      <c r="B458" s="149"/>
      <c r="C458" s="155"/>
      <c r="D458" s="156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  <c r="AB458" s="149"/>
    </row>
    <row r="459">
      <c r="A459" s="149"/>
      <c r="B459" s="149"/>
      <c r="C459" s="155"/>
      <c r="D459" s="156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  <c r="AB459" s="149"/>
    </row>
    <row r="460">
      <c r="A460" s="149"/>
      <c r="B460" s="149"/>
      <c r="C460" s="155"/>
      <c r="D460" s="156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  <c r="AA460" s="149"/>
      <c r="AB460" s="149"/>
    </row>
    <row r="461">
      <c r="A461" s="149"/>
      <c r="B461" s="149"/>
      <c r="C461" s="155"/>
      <c r="D461" s="156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  <c r="AA461" s="149"/>
      <c r="AB461" s="149"/>
    </row>
    <row r="462">
      <c r="A462" s="149"/>
      <c r="B462" s="149"/>
      <c r="C462" s="155"/>
      <c r="D462" s="156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  <c r="AA462" s="149"/>
      <c r="AB462" s="149"/>
    </row>
    <row r="463">
      <c r="A463" s="149"/>
      <c r="B463" s="149"/>
      <c r="C463" s="155"/>
      <c r="D463" s="156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  <c r="AB463" s="149"/>
    </row>
    <row r="464">
      <c r="A464" s="149"/>
      <c r="B464" s="149"/>
      <c r="C464" s="155"/>
      <c r="D464" s="156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  <c r="AA464" s="149"/>
      <c r="AB464" s="149"/>
    </row>
    <row r="465">
      <c r="A465" s="149"/>
      <c r="B465" s="149"/>
      <c r="C465" s="155"/>
      <c r="D465" s="156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  <c r="AA465" s="149"/>
      <c r="AB465" s="149"/>
    </row>
    <row r="466">
      <c r="A466" s="149"/>
      <c r="B466" s="149"/>
      <c r="C466" s="155"/>
      <c r="D466" s="156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  <c r="AA466" s="149"/>
      <c r="AB466" s="149"/>
    </row>
    <row r="467">
      <c r="A467" s="149"/>
      <c r="B467" s="149"/>
      <c r="C467" s="155"/>
      <c r="D467" s="156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  <c r="AA467" s="149"/>
      <c r="AB467" s="149"/>
    </row>
    <row r="468">
      <c r="A468" s="149"/>
      <c r="B468" s="149"/>
      <c r="C468" s="155"/>
      <c r="D468" s="156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  <c r="AA468" s="149"/>
      <c r="AB468" s="149"/>
    </row>
    <row r="469">
      <c r="A469" s="149"/>
      <c r="B469" s="149"/>
      <c r="C469" s="155"/>
      <c r="D469" s="156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  <c r="AB469" s="149"/>
    </row>
    <row r="470">
      <c r="A470" s="149"/>
      <c r="B470" s="149"/>
      <c r="C470" s="155"/>
      <c r="D470" s="156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  <c r="AA470" s="149"/>
      <c r="AB470" s="149"/>
    </row>
    <row r="471">
      <c r="A471" s="149"/>
      <c r="B471" s="149"/>
      <c r="C471" s="155"/>
      <c r="D471" s="156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  <c r="AA471" s="149"/>
      <c r="AB471" s="149"/>
    </row>
    <row r="472">
      <c r="A472" s="149"/>
      <c r="B472" s="149"/>
      <c r="C472" s="155"/>
      <c r="D472" s="156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  <c r="AA472" s="149"/>
      <c r="AB472" s="149"/>
    </row>
    <row r="473">
      <c r="A473" s="149"/>
      <c r="B473" s="149"/>
      <c r="C473" s="155"/>
      <c r="D473" s="156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  <c r="AA473" s="149"/>
      <c r="AB473" s="149"/>
    </row>
    <row r="474">
      <c r="A474" s="149"/>
      <c r="B474" s="149"/>
      <c r="C474" s="155"/>
      <c r="D474" s="156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  <c r="AA474" s="149"/>
      <c r="AB474" s="149"/>
    </row>
    <row r="475">
      <c r="A475" s="149"/>
      <c r="B475" s="149"/>
      <c r="C475" s="155"/>
      <c r="D475" s="156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  <c r="AA475" s="149"/>
      <c r="AB475" s="149"/>
    </row>
    <row r="476">
      <c r="A476" s="149"/>
      <c r="B476" s="149"/>
      <c r="C476" s="155"/>
      <c r="D476" s="156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  <c r="AA476" s="149"/>
      <c r="AB476" s="149"/>
    </row>
    <row r="477">
      <c r="A477" s="149"/>
      <c r="B477" s="149"/>
      <c r="C477" s="155"/>
      <c r="D477" s="156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  <c r="AA477" s="149"/>
      <c r="AB477" s="149"/>
    </row>
    <row r="478">
      <c r="A478" s="149"/>
      <c r="B478" s="149"/>
      <c r="C478" s="155"/>
      <c r="D478" s="156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  <c r="AA478" s="149"/>
      <c r="AB478" s="149"/>
    </row>
    <row r="479">
      <c r="A479" s="149"/>
      <c r="B479" s="149"/>
      <c r="C479" s="155"/>
      <c r="D479" s="156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  <c r="AB479" s="149"/>
    </row>
    <row r="480">
      <c r="A480" s="149"/>
      <c r="B480" s="149"/>
      <c r="C480" s="155"/>
      <c r="D480" s="156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  <c r="AB480" s="149"/>
    </row>
    <row r="481">
      <c r="A481" s="149"/>
      <c r="B481" s="149"/>
      <c r="C481" s="155"/>
      <c r="D481" s="156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  <c r="AB481" s="149"/>
    </row>
    <row r="482">
      <c r="A482" s="149"/>
      <c r="B482" s="149"/>
      <c r="C482" s="155"/>
      <c r="D482" s="156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</row>
    <row r="483">
      <c r="A483" s="149"/>
      <c r="B483" s="149"/>
      <c r="C483" s="155"/>
      <c r="D483" s="156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</row>
    <row r="484">
      <c r="A484" s="149"/>
      <c r="B484" s="149"/>
      <c r="C484" s="155"/>
      <c r="D484" s="156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</row>
    <row r="485">
      <c r="A485" s="149"/>
      <c r="B485" s="149"/>
      <c r="C485" s="155"/>
      <c r="D485" s="156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</row>
    <row r="486">
      <c r="A486" s="149"/>
      <c r="B486" s="149"/>
      <c r="C486" s="155"/>
      <c r="D486" s="156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  <c r="AB486" s="149"/>
    </row>
    <row r="487">
      <c r="A487" s="149"/>
      <c r="B487" s="149"/>
      <c r="C487" s="155"/>
      <c r="D487" s="156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  <c r="AA487" s="149"/>
      <c r="AB487" s="149"/>
    </row>
    <row r="488">
      <c r="A488" s="149"/>
      <c r="B488" s="149"/>
      <c r="C488" s="155"/>
      <c r="D488" s="156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  <c r="AA488" s="149"/>
      <c r="AB488" s="149"/>
    </row>
    <row r="489">
      <c r="A489" s="149"/>
      <c r="B489" s="149"/>
      <c r="C489" s="155"/>
      <c r="D489" s="156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  <c r="AB489" s="149"/>
    </row>
    <row r="490">
      <c r="A490" s="149"/>
      <c r="B490" s="149"/>
      <c r="C490" s="155"/>
      <c r="D490" s="156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  <c r="AA490" s="149"/>
      <c r="AB490" s="149"/>
    </row>
    <row r="491">
      <c r="A491" s="149"/>
      <c r="B491" s="149"/>
      <c r="C491" s="155"/>
      <c r="D491" s="156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  <c r="AA491" s="149"/>
      <c r="AB491" s="149"/>
    </row>
    <row r="492">
      <c r="A492" s="149"/>
      <c r="B492" s="149"/>
      <c r="C492" s="155"/>
      <c r="D492" s="156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  <c r="AA492" s="149"/>
      <c r="AB492" s="149"/>
    </row>
    <row r="493">
      <c r="A493" s="149"/>
      <c r="B493" s="149"/>
      <c r="C493" s="155"/>
      <c r="D493" s="156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  <c r="AA493" s="149"/>
      <c r="AB493" s="149"/>
    </row>
    <row r="494">
      <c r="A494" s="149"/>
      <c r="B494" s="149"/>
      <c r="C494" s="155"/>
      <c r="D494" s="156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  <c r="AA494" s="149"/>
      <c r="AB494" s="149"/>
    </row>
    <row r="495">
      <c r="A495" s="149"/>
      <c r="B495" s="149"/>
      <c r="C495" s="155"/>
      <c r="D495" s="156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  <c r="AA495" s="149"/>
      <c r="AB495" s="149"/>
    </row>
    <row r="496">
      <c r="A496" s="149"/>
      <c r="B496" s="149"/>
      <c r="C496" s="155"/>
      <c r="D496" s="156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  <c r="AA496" s="149"/>
      <c r="AB496" s="149"/>
    </row>
    <row r="497">
      <c r="A497" s="149"/>
      <c r="B497" s="149"/>
      <c r="C497" s="155"/>
      <c r="D497" s="156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  <c r="AA497" s="149"/>
      <c r="AB497" s="149"/>
    </row>
    <row r="498">
      <c r="A498" s="149"/>
      <c r="B498" s="149"/>
      <c r="C498" s="155"/>
      <c r="D498" s="156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  <c r="AA498" s="149"/>
      <c r="AB498" s="149"/>
    </row>
    <row r="499">
      <c r="A499" s="149"/>
      <c r="B499" s="149"/>
      <c r="C499" s="155"/>
      <c r="D499" s="156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  <c r="AA499" s="149"/>
      <c r="AB499" s="149"/>
    </row>
    <row r="500">
      <c r="A500" s="149"/>
      <c r="B500" s="149"/>
      <c r="C500" s="155"/>
      <c r="D500" s="156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  <c r="AA500" s="149"/>
      <c r="AB500" s="149"/>
    </row>
    <row r="501">
      <c r="A501" s="149"/>
      <c r="B501" s="149"/>
      <c r="C501" s="155"/>
      <c r="D501" s="156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  <c r="AA501" s="149"/>
      <c r="AB501" s="149"/>
    </row>
    <row r="502">
      <c r="A502" s="149"/>
      <c r="B502" s="149"/>
      <c r="C502" s="155"/>
      <c r="D502" s="156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  <c r="AA502" s="149"/>
      <c r="AB502" s="149"/>
    </row>
    <row r="503">
      <c r="A503" s="149"/>
      <c r="B503" s="149"/>
      <c r="C503" s="155"/>
      <c r="D503" s="156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  <c r="AA503" s="149"/>
      <c r="AB503" s="149"/>
    </row>
    <row r="504">
      <c r="A504" s="149"/>
      <c r="B504" s="149"/>
      <c r="C504" s="155"/>
      <c r="D504" s="156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  <c r="AA504" s="149"/>
      <c r="AB504" s="149"/>
    </row>
    <row r="505">
      <c r="A505" s="149"/>
      <c r="B505" s="149"/>
      <c r="C505" s="155"/>
      <c r="D505" s="156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  <c r="AA505" s="149"/>
      <c r="AB505" s="149"/>
    </row>
    <row r="506">
      <c r="A506" s="149"/>
      <c r="B506" s="149"/>
      <c r="C506" s="155"/>
      <c r="D506" s="156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  <c r="AA506" s="149"/>
      <c r="AB506" s="149"/>
    </row>
    <row r="507">
      <c r="A507" s="149"/>
      <c r="B507" s="149"/>
      <c r="C507" s="155"/>
      <c r="D507" s="156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  <c r="AA507" s="149"/>
      <c r="AB507" s="149"/>
    </row>
    <row r="508">
      <c r="A508" s="149"/>
      <c r="B508" s="149"/>
      <c r="C508" s="155"/>
      <c r="D508" s="156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  <c r="AB508" s="149"/>
    </row>
    <row r="509">
      <c r="A509" s="149"/>
      <c r="B509" s="149"/>
      <c r="C509" s="155"/>
      <c r="D509" s="156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  <c r="AA509" s="149"/>
      <c r="AB509" s="149"/>
    </row>
    <row r="510">
      <c r="A510" s="149"/>
      <c r="B510" s="149"/>
      <c r="C510" s="155"/>
      <c r="D510" s="156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  <c r="AA510" s="149"/>
      <c r="AB510" s="149"/>
    </row>
    <row r="511">
      <c r="A511" s="149"/>
      <c r="B511" s="149"/>
      <c r="C511" s="155"/>
      <c r="D511" s="156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  <c r="AA511" s="149"/>
      <c r="AB511" s="149"/>
    </row>
    <row r="512">
      <c r="A512" s="149"/>
      <c r="B512" s="149"/>
      <c r="C512" s="155"/>
      <c r="D512" s="156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  <c r="AA512" s="149"/>
      <c r="AB512" s="149"/>
    </row>
    <row r="513">
      <c r="A513" s="149"/>
      <c r="B513" s="149"/>
      <c r="C513" s="155"/>
      <c r="D513" s="156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  <c r="AA513" s="149"/>
      <c r="AB513" s="149"/>
    </row>
    <row r="514">
      <c r="A514" s="149"/>
      <c r="B514" s="149"/>
      <c r="C514" s="155"/>
      <c r="D514" s="156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  <c r="AA514" s="149"/>
      <c r="AB514" s="149"/>
    </row>
    <row r="515">
      <c r="A515" s="149"/>
      <c r="B515" s="149"/>
      <c r="C515" s="155"/>
      <c r="D515" s="156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  <c r="AB515" s="149"/>
    </row>
    <row r="516">
      <c r="A516" s="149"/>
      <c r="B516" s="149"/>
      <c r="C516" s="155"/>
      <c r="D516" s="156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  <c r="AA516" s="149"/>
      <c r="AB516" s="149"/>
    </row>
    <row r="517">
      <c r="A517" s="149"/>
      <c r="B517" s="149"/>
      <c r="C517" s="155"/>
      <c r="D517" s="156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  <c r="AA517" s="149"/>
      <c r="AB517" s="149"/>
    </row>
    <row r="518">
      <c r="A518" s="149"/>
      <c r="B518" s="149"/>
      <c r="C518" s="155"/>
      <c r="D518" s="156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  <c r="AB518" s="149"/>
    </row>
    <row r="519">
      <c r="A519" s="149"/>
      <c r="B519" s="149"/>
      <c r="C519" s="155"/>
      <c r="D519" s="156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  <c r="AA519" s="149"/>
      <c r="AB519" s="149"/>
    </row>
    <row r="520">
      <c r="A520" s="149"/>
      <c r="B520" s="149"/>
      <c r="C520" s="155"/>
      <c r="D520" s="156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  <c r="AA520" s="149"/>
      <c r="AB520" s="149"/>
    </row>
    <row r="521">
      <c r="A521" s="149"/>
      <c r="B521" s="149"/>
      <c r="C521" s="155"/>
      <c r="D521" s="156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  <c r="AA521" s="149"/>
      <c r="AB521" s="149"/>
    </row>
    <row r="522">
      <c r="A522" s="149"/>
      <c r="B522" s="149"/>
      <c r="C522" s="155"/>
      <c r="D522" s="156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  <c r="AA522" s="149"/>
      <c r="AB522" s="149"/>
    </row>
    <row r="523">
      <c r="A523" s="149"/>
      <c r="B523" s="149"/>
      <c r="C523" s="155"/>
      <c r="D523" s="156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  <c r="AA523" s="149"/>
      <c r="AB523" s="149"/>
    </row>
    <row r="524">
      <c r="A524" s="149"/>
      <c r="B524" s="149"/>
      <c r="C524" s="155"/>
      <c r="D524" s="156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  <c r="AA524" s="149"/>
      <c r="AB524" s="149"/>
    </row>
    <row r="525">
      <c r="A525" s="149"/>
      <c r="B525" s="149"/>
      <c r="C525" s="155"/>
      <c r="D525" s="156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  <c r="AA525" s="149"/>
      <c r="AB525" s="149"/>
    </row>
    <row r="526">
      <c r="A526" s="149"/>
      <c r="B526" s="149"/>
      <c r="C526" s="155"/>
      <c r="D526" s="156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  <c r="AA526" s="149"/>
      <c r="AB526" s="149"/>
    </row>
    <row r="527">
      <c r="A527" s="149"/>
      <c r="B527" s="149"/>
      <c r="C527" s="155"/>
      <c r="D527" s="156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  <c r="AA527" s="149"/>
      <c r="AB527" s="149"/>
    </row>
    <row r="528">
      <c r="A528" s="149"/>
      <c r="B528" s="149"/>
      <c r="C528" s="155"/>
      <c r="D528" s="156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  <c r="AA528" s="149"/>
      <c r="AB528" s="149"/>
    </row>
    <row r="529">
      <c r="A529" s="149"/>
      <c r="B529" s="149"/>
      <c r="C529" s="155"/>
      <c r="D529" s="156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  <c r="AA529" s="149"/>
      <c r="AB529" s="149"/>
    </row>
    <row r="530">
      <c r="A530" s="149"/>
      <c r="B530" s="149"/>
      <c r="C530" s="155"/>
      <c r="D530" s="156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  <c r="AA530" s="149"/>
      <c r="AB530" s="149"/>
    </row>
    <row r="531">
      <c r="A531" s="149"/>
      <c r="B531" s="149"/>
      <c r="C531" s="155"/>
      <c r="D531" s="156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  <c r="AA531" s="149"/>
      <c r="AB531" s="149"/>
    </row>
    <row r="532">
      <c r="A532" s="149"/>
      <c r="B532" s="149"/>
      <c r="C532" s="155"/>
      <c r="D532" s="156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  <c r="AA532" s="149"/>
      <c r="AB532" s="149"/>
    </row>
    <row r="533">
      <c r="A533" s="149"/>
      <c r="B533" s="149"/>
      <c r="C533" s="155"/>
      <c r="D533" s="156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  <c r="AA533" s="149"/>
      <c r="AB533" s="149"/>
    </row>
    <row r="534">
      <c r="A534" s="149"/>
      <c r="B534" s="149"/>
      <c r="C534" s="155"/>
      <c r="D534" s="156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  <c r="AA534" s="149"/>
      <c r="AB534" s="149"/>
    </row>
    <row r="535">
      <c r="A535" s="149"/>
      <c r="B535" s="149"/>
      <c r="C535" s="155"/>
      <c r="D535" s="156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  <c r="AA535" s="149"/>
      <c r="AB535" s="149"/>
    </row>
    <row r="536">
      <c r="A536" s="149"/>
      <c r="B536" s="149"/>
      <c r="C536" s="155"/>
      <c r="D536" s="156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  <c r="AA536" s="149"/>
      <c r="AB536" s="149"/>
    </row>
    <row r="537">
      <c r="A537" s="149"/>
      <c r="B537" s="149"/>
      <c r="C537" s="155"/>
      <c r="D537" s="156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  <c r="AA537" s="149"/>
      <c r="AB537" s="149"/>
    </row>
    <row r="538">
      <c r="A538" s="149"/>
      <c r="B538" s="149"/>
      <c r="C538" s="155"/>
      <c r="D538" s="156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  <c r="AA538" s="149"/>
      <c r="AB538" s="149"/>
    </row>
    <row r="539">
      <c r="A539" s="149"/>
      <c r="B539" s="149"/>
      <c r="C539" s="155"/>
      <c r="D539" s="156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  <c r="AB539" s="149"/>
    </row>
    <row r="540">
      <c r="A540" s="149"/>
      <c r="B540" s="149"/>
      <c r="C540" s="155"/>
      <c r="D540" s="156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  <c r="AA540" s="149"/>
      <c r="AB540" s="149"/>
    </row>
    <row r="541">
      <c r="A541" s="149"/>
      <c r="B541" s="149"/>
      <c r="C541" s="155"/>
      <c r="D541" s="156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  <c r="AA541" s="149"/>
      <c r="AB541" s="149"/>
    </row>
    <row r="542">
      <c r="A542" s="149"/>
      <c r="B542" s="149"/>
      <c r="C542" s="155"/>
      <c r="D542" s="156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  <c r="AB542" s="149"/>
    </row>
    <row r="543">
      <c r="A543" s="149"/>
      <c r="B543" s="149"/>
      <c r="C543" s="155"/>
      <c r="D543" s="156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  <c r="AA543" s="149"/>
      <c r="AB543" s="149"/>
    </row>
    <row r="544">
      <c r="A544" s="149"/>
      <c r="B544" s="149"/>
      <c r="C544" s="155"/>
      <c r="D544" s="156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  <c r="AA544" s="149"/>
      <c r="AB544" s="149"/>
    </row>
    <row r="545">
      <c r="A545" s="149"/>
      <c r="B545" s="149"/>
      <c r="C545" s="155"/>
      <c r="D545" s="156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  <c r="AA545" s="149"/>
      <c r="AB545" s="149"/>
    </row>
    <row r="546">
      <c r="A546" s="149"/>
      <c r="B546" s="149"/>
      <c r="C546" s="155"/>
      <c r="D546" s="156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  <c r="AA546" s="149"/>
      <c r="AB546" s="149"/>
    </row>
    <row r="547">
      <c r="A547" s="149"/>
      <c r="B547" s="149"/>
      <c r="C547" s="155"/>
      <c r="D547" s="156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  <c r="AA547" s="149"/>
      <c r="AB547" s="149"/>
    </row>
    <row r="548">
      <c r="A548" s="149"/>
      <c r="B548" s="149"/>
      <c r="C548" s="155"/>
      <c r="D548" s="156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  <c r="AA548" s="149"/>
      <c r="AB548" s="149"/>
    </row>
    <row r="549">
      <c r="A549" s="149"/>
      <c r="B549" s="149"/>
      <c r="C549" s="155"/>
      <c r="D549" s="156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  <c r="AA549" s="149"/>
      <c r="AB549" s="149"/>
    </row>
    <row r="550">
      <c r="A550" s="149"/>
      <c r="B550" s="149"/>
      <c r="C550" s="155"/>
      <c r="D550" s="156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  <c r="AA550" s="149"/>
      <c r="AB550" s="149"/>
    </row>
    <row r="551">
      <c r="A551" s="149"/>
      <c r="B551" s="149"/>
      <c r="C551" s="155"/>
      <c r="D551" s="156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  <c r="AA551" s="149"/>
      <c r="AB551" s="149"/>
    </row>
    <row r="552">
      <c r="A552" s="149"/>
      <c r="B552" s="149"/>
      <c r="C552" s="155"/>
      <c r="D552" s="156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  <c r="AA552" s="149"/>
      <c r="AB552" s="149"/>
    </row>
    <row r="553">
      <c r="A553" s="149"/>
      <c r="B553" s="149"/>
      <c r="C553" s="155"/>
      <c r="D553" s="156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  <c r="AA553" s="149"/>
      <c r="AB553" s="149"/>
    </row>
    <row r="554">
      <c r="A554" s="149"/>
      <c r="B554" s="149"/>
      <c r="C554" s="155"/>
      <c r="D554" s="156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  <c r="AA554" s="149"/>
      <c r="AB554" s="149"/>
    </row>
    <row r="555">
      <c r="A555" s="149"/>
      <c r="B555" s="149"/>
      <c r="C555" s="155"/>
      <c r="D555" s="156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  <c r="AA555" s="149"/>
      <c r="AB555" s="149"/>
    </row>
    <row r="556">
      <c r="A556" s="149"/>
      <c r="B556" s="149"/>
      <c r="C556" s="155"/>
      <c r="D556" s="156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  <c r="AA556" s="149"/>
      <c r="AB556" s="149"/>
    </row>
    <row r="557">
      <c r="A557" s="149"/>
      <c r="B557" s="149"/>
      <c r="C557" s="155"/>
      <c r="D557" s="156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  <c r="AA557" s="149"/>
      <c r="AB557" s="149"/>
    </row>
    <row r="558">
      <c r="A558" s="149"/>
      <c r="B558" s="149"/>
      <c r="C558" s="155"/>
      <c r="D558" s="156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  <c r="AA558" s="149"/>
      <c r="AB558" s="149"/>
    </row>
    <row r="559">
      <c r="A559" s="149"/>
      <c r="B559" s="149"/>
      <c r="C559" s="155"/>
      <c r="D559" s="156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  <c r="AA559" s="149"/>
      <c r="AB559" s="149"/>
    </row>
    <row r="560">
      <c r="A560" s="149"/>
      <c r="B560" s="149"/>
      <c r="C560" s="155"/>
      <c r="D560" s="156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  <c r="AA560" s="149"/>
      <c r="AB560" s="149"/>
    </row>
    <row r="561">
      <c r="A561" s="149"/>
      <c r="B561" s="149"/>
      <c r="C561" s="155"/>
      <c r="D561" s="156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  <c r="AA561" s="149"/>
      <c r="AB561" s="149"/>
    </row>
    <row r="562">
      <c r="A562" s="149"/>
      <c r="B562" s="149"/>
      <c r="C562" s="155"/>
      <c r="D562" s="156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  <c r="AA562" s="149"/>
      <c r="AB562" s="149"/>
    </row>
    <row r="563">
      <c r="A563" s="149"/>
      <c r="B563" s="149"/>
      <c r="C563" s="155"/>
      <c r="D563" s="156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  <c r="AA563" s="149"/>
      <c r="AB563" s="149"/>
    </row>
    <row r="564">
      <c r="A564" s="149"/>
      <c r="B564" s="149"/>
      <c r="C564" s="155"/>
      <c r="D564" s="156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  <c r="AA564" s="149"/>
      <c r="AB564" s="149"/>
    </row>
    <row r="565">
      <c r="A565" s="149"/>
      <c r="B565" s="149"/>
      <c r="C565" s="155"/>
      <c r="D565" s="156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  <c r="AA565" s="149"/>
      <c r="AB565" s="149"/>
    </row>
    <row r="566">
      <c r="A566" s="149"/>
      <c r="B566" s="149"/>
      <c r="C566" s="155"/>
      <c r="D566" s="156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  <c r="AA566" s="149"/>
      <c r="AB566" s="149"/>
    </row>
    <row r="567">
      <c r="A567" s="149"/>
      <c r="B567" s="149"/>
      <c r="C567" s="155"/>
      <c r="D567" s="156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  <c r="AA567" s="149"/>
      <c r="AB567" s="149"/>
    </row>
    <row r="568">
      <c r="A568" s="149"/>
      <c r="B568" s="149"/>
      <c r="C568" s="155"/>
      <c r="D568" s="156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  <c r="AA568" s="149"/>
      <c r="AB568" s="149"/>
    </row>
    <row r="569">
      <c r="A569" s="149"/>
      <c r="B569" s="149"/>
      <c r="C569" s="155"/>
      <c r="D569" s="156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  <c r="AA569" s="149"/>
      <c r="AB569" s="149"/>
    </row>
    <row r="570">
      <c r="A570" s="149"/>
      <c r="B570" s="149"/>
      <c r="C570" s="155"/>
      <c r="D570" s="156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  <c r="AB570" s="149"/>
    </row>
    <row r="571">
      <c r="A571" s="149"/>
      <c r="B571" s="149"/>
      <c r="C571" s="155"/>
      <c r="D571" s="156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  <c r="AA571" s="149"/>
      <c r="AB571" s="149"/>
    </row>
    <row r="572">
      <c r="A572" s="149"/>
      <c r="B572" s="149"/>
      <c r="C572" s="155"/>
      <c r="D572" s="156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  <c r="AA572" s="149"/>
      <c r="AB572" s="149"/>
    </row>
    <row r="573">
      <c r="A573" s="149"/>
      <c r="B573" s="149"/>
      <c r="C573" s="155"/>
      <c r="D573" s="156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  <c r="AA573" s="149"/>
      <c r="AB573" s="149"/>
    </row>
    <row r="574">
      <c r="A574" s="149"/>
      <c r="B574" s="149"/>
      <c r="C574" s="155"/>
      <c r="D574" s="156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  <c r="AA574" s="149"/>
      <c r="AB574" s="149"/>
    </row>
    <row r="575">
      <c r="A575" s="149"/>
      <c r="B575" s="149"/>
      <c r="C575" s="155"/>
      <c r="D575" s="156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  <c r="AA575" s="149"/>
      <c r="AB575" s="149"/>
    </row>
    <row r="576">
      <c r="A576" s="149"/>
      <c r="B576" s="149"/>
      <c r="C576" s="155"/>
      <c r="D576" s="156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  <c r="AA576" s="149"/>
      <c r="AB576" s="149"/>
    </row>
    <row r="577">
      <c r="A577" s="149"/>
      <c r="B577" s="149"/>
      <c r="C577" s="155"/>
      <c r="D577" s="156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  <c r="AA577" s="149"/>
      <c r="AB577" s="149"/>
    </row>
    <row r="578">
      <c r="A578" s="149"/>
      <c r="B578" s="149"/>
      <c r="C578" s="155"/>
      <c r="D578" s="156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  <c r="AA578" s="149"/>
      <c r="AB578" s="149"/>
    </row>
    <row r="579">
      <c r="A579" s="149"/>
      <c r="B579" s="149"/>
      <c r="C579" s="155"/>
      <c r="D579" s="156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  <c r="AA579" s="149"/>
      <c r="AB579" s="149"/>
    </row>
    <row r="580">
      <c r="A580" s="149"/>
      <c r="B580" s="149"/>
      <c r="C580" s="155"/>
      <c r="D580" s="156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  <c r="AA580" s="149"/>
      <c r="AB580" s="149"/>
    </row>
    <row r="581">
      <c r="A581" s="149"/>
      <c r="B581" s="149"/>
      <c r="C581" s="155"/>
      <c r="D581" s="156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  <c r="AA581" s="149"/>
      <c r="AB581" s="149"/>
    </row>
    <row r="582">
      <c r="A582" s="149"/>
      <c r="B582" s="149"/>
      <c r="C582" s="155"/>
      <c r="D582" s="156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  <c r="AB582" s="149"/>
    </row>
    <row r="583">
      <c r="A583" s="149"/>
      <c r="B583" s="149"/>
      <c r="C583" s="155"/>
      <c r="D583" s="156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  <c r="AB583" s="149"/>
    </row>
    <row r="584">
      <c r="A584" s="149"/>
      <c r="B584" s="149"/>
      <c r="C584" s="155"/>
      <c r="D584" s="156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  <c r="AA584" s="149"/>
      <c r="AB584" s="149"/>
    </row>
    <row r="585">
      <c r="A585" s="149"/>
      <c r="B585" s="149"/>
      <c r="C585" s="155"/>
      <c r="D585" s="156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  <c r="AA585" s="149"/>
      <c r="AB585" s="149"/>
    </row>
    <row r="586">
      <c r="A586" s="149"/>
      <c r="B586" s="149"/>
      <c r="C586" s="155"/>
      <c r="D586" s="156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  <c r="AB586" s="149"/>
    </row>
    <row r="587">
      <c r="A587" s="149"/>
      <c r="B587" s="149"/>
      <c r="C587" s="155"/>
      <c r="D587" s="156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  <c r="AB587" s="149"/>
    </row>
    <row r="588">
      <c r="A588" s="149"/>
      <c r="B588" s="149"/>
      <c r="C588" s="155"/>
      <c r="D588" s="156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  <c r="AA588" s="149"/>
      <c r="AB588" s="149"/>
    </row>
    <row r="589">
      <c r="A589" s="149"/>
      <c r="B589" s="149"/>
      <c r="C589" s="155"/>
      <c r="D589" s="156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  <c r="AA589" s="149"/>
      <c r="AB589" s="149"/>
    </row>
    <row r="590">
      <c r="A590" s="149"/>
      <c r="B590" s="149"/>
      <c r="C590" s="155"/>
      <c r="D590" s="156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  <c r="AA590" s="149"/>
      <c r="AB590" s="149"/>
    </row>
    <row r="591">
      <c r="A591" s="149"/>
      <c r="B591" s="149"/>
      <c r="C591" s="155"/>
      <c r="D591" s="156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  <c r="AB591" s="149"/>
    </row>
    <row r="592">
      <c r="A592" s="149"/>
      <c r="B592" s="149"/>
      <c r="C592" s="155"/>
      <c r="D592" s="156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  <c r="AA592" s="149"/>
      <c r="AB592" s="149"/>
    </row>
    <row r="593">
      <c r="A593" s="149"/>
      <c r="B593" s="149"/>
      <c r="C593" s="155"/>
      <c r="D593" s="156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  <c r="AB593" s="149"/>
    </row>
    <row r="594">
      <c r="A594" s="149"/>
      <c r="B594" s="149"/>
      <c r="C594" s="155"/>
      <c r="D594" s="156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  <c r="AA594" s="149"/>
      <c r="AB594" s="149"/>
    </row>
    <row r="595">
      <c r="A595" s="149"/>
      <c r="B595" s="149"/>
      <c r="C595" s="155"/>
      <c r="D595" s="156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  <c r="AA595" s="149"/>
      <c r="AB595" s="149"/>
    </row>
    <row r="596">
      <c r="A596" s="149"/>
      <c r="B596" s="149"/>
      <c r="C596" s="155"/>
      <c r="D596" s="156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  <c r="AA596" s="149"/>
      <c r="AB596" s="149"/>
    </row>
    <row r="597">
      <c r="A597" s="149"/>
      <c r="B597" s="149"/>
      <c r="C597" s="155"/>
      <c r="D597" s="156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  <c r="AA597" s="149"/>
      <c r="AB597" s="149"/>
    </row>
    <row r="598">
      <c r="A598" s="149"/>
      <c r="B598" s="149"/>
      <c r="C598" s="155"/>
      <c r="D598" s="156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  <c r="AA598" s="149"/>
      <c r="AB598" s="149"/>
    </row>
    <row r="599">
      <c r="A599" s="149"/>
      <c r="B599" s="149"/>
      <c r="C599" s="155"/>
      <c r="D599" s="156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  <c r="AA599" s="149"/>
      <c r="AB599" s="149"/>
    </row>
    <row r="600">
      <c r="A600" s="149"/>
      <c r="B600" s="149"/>
      <c r="C600" s="155"/>
      <c r="D600" s="156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  <c r="AA600" s="149"/>
      <c r="AB600" s="149"/>
    </row>
    <row r="601">
      <c r="A601" s="149"/>
      <c r="B601" s="149"/>
      <c r="C601" s="155"/>
      <c r="D601" s="156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  <c r="AA601" s="149"/>
      <c r="AB601" s="149"/>
    </row>
    <row r="602">
      <c r="A602" s="149"/>
      <c r="B602" s="149"/>
      <c r="C602" s="155"/>
      <c r="D602" s="156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  <c r="AA602" s="149"/>
      <c r="AB602" s="149"/>
    </row>
    <row r="603">
      <c r="A603" s="149"/>
      <c r="B603" s="149"/>
      <c r="C603" s="155"/>
      <c r="D603" s="156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  <c r="AA603" s="149"/>
      <c r="AB603" s="149"/>
    </row>
    <row r="604">
      <c r="A604" s="149"/>
      <c r="B604" s="149"/>
      <c r="C604" s="155"/>
      <c r="D604" s="156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  <c r="AA604" s="149"/>
      <c r="AB604" s="149"/>
    </row>
    <row r="605">
      <c r="A605" s="149"/>
      <c r="B605" s="149"/>
      <c r="C605" s="155"/>
      <c r="D605" s="156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  <c r="AA605" s="149"/>
      <c r="AB605" s="149"/>
    </row>
    <row r="606">
      <c r="A606" s="149"/>
      <c r="B606" s="149"/>
      <c r="C606" s="155"/>
      <c r="D606" s="156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  <c r="AA606" s="149"/>
      <c r="AB606" s="149"/>
    </row>
    <row r="607">
      <c r="A607" s="149"/>
      <c r="B607" s="149"/>
      <c r="C607" s="155"/>
      <c r="D607" s="156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  <c r="AA607" s="149"/>
      <c r="AB607" s="149"/>
    </row>
    <row r="608">
      <c r="A608" s="149"/>
      <c r="B608" s="149"/>
      <c r="C608" s="155"/>
      <c r="D608" s="156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  <c r="AA608" s="149"/>
      <c r="AB608" s="149"/>
    </row>
    <row r="609">
      <c r="A609" s="149"/>
      <c r="B609" s="149"/>
      <c r="C609" s="155"/>
      <c r="D609" s="156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  <c r="AA609" s="149"/>
      <c r="AB609" s="149"/>
    </row>
    <row r="610">
      <c r="A610" s="149"/>
      <c r="B610" s="149"/>
      <c r="C610" s="155"/>
      <c r="D610" s="156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  <c r="AA610" s="149"/>
      <c r="AB610" s="149"/>
    </row>
    <row r="611">
      <c r="A611" s="149"/>
      <c r="B611" s="149"/>
      <c r="C611" s="155"/>
      <c r="D611" s="156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  <c r="AA611" s="149"/>
      <c r="AB611" s="149"/>
    </row>
    <row r="612">
      <c r="A612" s="149"/>
      <c r="B612" s="149"/>
      <c r="C612" s="155"/>
      <c r="D612" s="156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  <c r="AA612" s="149"/>
      <c r="AB612" s="149"/>
    </row>
    <row r="613">
      <c r="A613" s="149"/>
      <c r="B613" s="149"/>
      <c r="C613" s="155"/>
      <c r="D613" s="156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  <c r="AA613" s="149"/>
      <c r="AB613" s="149"/>
    </row>
    <row r="614">
      <c r="A614" s="149"/>
      <c r="B614" s="149"/>
      <c r="C614" s="155"/>
      <c r="D614" s="156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  <c r="AB614" s="149"/>
    </row>
    <row r="615">
      <c r="A615" s="149"/>
      <c r="B615" s="149"/>
      <c r="C615" s="155"/>
      <c r="D615" s="156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  <c r="AA615" s="149"/>
      <c r="AB615" s="149"/>
    </row>
    <row r="616">
      <c r="A616" s="149"/>
      <c r="B616" s="149"/>
      <c r="C616" s="155"/>
      <c r="D616" s="156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  <c r="AA616" s="149"/>
      <c r="AB616" s="149"/>
    </row>
    <row r="617">
      <c r="A617" s="149"/>
      <c r="B617" s="149"/>
      <c r="C617" s="155"/>
      <c r="D617" s="156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  <c r="AA617" s="149"/>
      <c r="AB617" s="149"/>
    </row>
    <row r="618">
      <c r="A618" s="149"/>
      <c r="B618" s="149"/>
      <c r="C618" s="155"/>
      <c r="D618" s="156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  <c r="AA618" s="149"/>
      <c r="AB618" s="149"/>
    </row>
    <row r="619">
      <c r="A619" s="149"/>
      <c r="B619" s="149"/>
      <c r="C619" s="155"/>
      <c r="D619" s="156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  <c r="AB619" s="149"/>
    </row>
    <row r="620">
      <c r="A620" s="149"/>
      <c r="B620" s="149"/>
      <c r="C620" s="155"/>
      <c r="D620" s="156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  <c r="AA620" s="149"/>
      <c r="AB620" s="149"/>
    </row>
    <row r="621">
      <c r="A621" s="149"/>
      <c r="B621" s="149"/>
      <c r="C621" s="155"/>
      <c r="D621" s="156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  <c r="AB621" s="149"/>
    </row>
    <row r="622">
      <c r="A622" s="149"/>
      <c r="B622" s="149"/>
      <c r="C622" s="155"/>
      <c r="D622" s="156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  <c r="AB622" s="149"/>
    </row>
    <row r="623">
      <c r="A623" s="149"/>
      <c r="B623" s="149"/>
      <c r="C623" s="155"/>
      <c r="D623" s="156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  <c r="AA623" s="149"/>
      <c r="AB623" s="149"/>
    </row>
    <row r="624">
      <c r="A624" s="149"/>
      <c r="B624" s="149"/>
      <c r="C624" s="155"/>
      <c r="D624" s="156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  <c r="AA624" s="149"/>
      <c r="AB624" s="149"/>
    </row>
    <row r="625">
      <c r="A625" s="149"/>
      <c r="B625" s="149"/>
      <c r="C625" s="155"/>
      <c r="D625" s="156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  <c r="AA625" s="149"/>
      <c r="AB625" s="149"/>
    </row>
    <row r="626">
      <c r="A626" s="149"/>
      <c r="B626" s="149"/>
      <c r="C626" s="155"/>
      <c r="D626" s="156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  <c r="AA626" s="149"/>
      <c r="AB626" s="149"/>
    </row>
    <row r="627">
      <c r="A627" s="149"/>
      <c r="B627" s="149"/>
      <c r="C627" s="155"/>
      <c r="D627" s="156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  <c r="AA627" s="149"/>
      <c r="AB627" s="149"/>
    </row>
    <row r="628">
      <c r="A628" s="149"/>
      <c r="B628" s="149"/>
      <c r="C628" s="155"/>
      <c r="D628" s="156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  <c r="AA628" s="149"/>
      <c r="AB628" s="149"/>
    </row>
    <row r="629">
      <c r="A629" s="149"/>
      <c r="B629" s="149"/>
      <c r="C629" s="155"/>
      <c r="D629" s="156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  <c r="AA629" s="149"/>
      <c r="AB629" s="149"/>
    </row>
    <row r="630">
      <c r="A630" s="149"/>
      <c r="B630" s="149"/>
      <c r="C630" s="155"/>
      <c r="D630" s="156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  <c r="AA630" s="149"/>
      <c r="AB630" s="149"/>
    </row>
    <row r="631">
      <c r="A631" s="149"/>
      <c r="B631" s="149"/>
      <c r="C631" s="155"/>
      <c r="D631" s="156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  <c r="AA631" s="149"/>
      <c r="AB631" s="149"/>
    </row>
    <row r="632">
      <c r="A632" s="149"/>
      <c r="B632" s="149"/>
      <c r="C632" s="155"/>
      <c r="D632" s="156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  <c r="AB632" s="149"/>
    </row>
    <row r="633">
      <c r="A633" s="149"/>
      <c r="B633" s="149"/>
      <c r="C633" s="155"/>
      <c r="D633" s="156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  <c r="AA633" s="149"/>
      <c r="AB633" s="149"/>
    </row>
    <row r="634">
      <c r="A634" s="149"/>
      <c r="B634" s="149"/>
      <c r="C634" s="155"/>
      <c r="D634" s="156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  <c r="AB634" s="149"/>
    </row>
    <row r="635">
      <c r="A635" s="149"/>
      <c r="B635" s="149"/>
      <c r="C635" s="155"/>
      <c r="D635" s="156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  <c r="AA635" s="149"/>
      <c r="AB635" s="149"/>
    </row>
    <row r="636">
      <c r="A636" s="149"/>
      <c r="B636" s="149"/>
      <c r="C636" s="155"/>
      <c r="D636" s="156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  <c r="AA636" s="149"/>
      <c r="AB636" s="149"/>
    </row>
    <row r="637">
      <c r="A637" s="149"/>
      <c r="B637" s="149"/>
      <c r="C637" s="155"/>
      <c r="D637" s="156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  <c r="AA637" s="149"/>
      <c r="AB637" s="149"/>
    </row>
    <row r="638">
      <c r="A638" s="149"/>
      <c r="B638" s="149"/>
      <c r="C638" s="155"/>
      <c r="D638" s="156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  <c r="AA638" s="149"/>
      <c r="AB638" s="149"/>
    </row>
    <row r="639">
      <c r="A639" s="149"/>
      <c r="B639" s="149"/>
      <c r="C639" s="155"/>
      <c r="D639" s="156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  <c r="AB639" s="149"/>
    </row>
    <row r="640">
      <c r="A640" s="149"/>
      <c r="B640" s="149"/>
      <c r="C640" s="155"/>
      <c r="D640" s="156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  <c r="AA640" s="149"/>
      <c r="AB640" s="149"/>
    </row>
    <row r="641">
      <c r="A641" s="149"/>
      <c r="B641" s="149"/>
      <c r="C641" s="155"/>
      <c r="D641" s="156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  <c r="AA641" s="149"/>
      <c r="AB641" s="149"/>
    </row>
    <row r="642">
      <c r="A642" s="149"/>
      <c r="B642" s="149"/>
      <c r="C642" s="155"/>
      <c r="D642" s="156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  <c r="AA642" s="149"/>
      <c r="AB642" s="149"/>
    </row>
    <row r="643">
      <c r="A643" s="149"/>
      <c r="B643" s="149"/>
      <c r="C643" s="155"/>
      <c r="D643" s="156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  <c r="AA643" s="149"/>
      <c r="AB643" s="149"/>
    </row>
    <row r="644">
      <c r="A644" s="149"/>
      <c r="B644" s="149"/>
      <c r="C644" s="155"/>
      <c r="D644" s="156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  <c r="AA644" s="149"/>
      <c r="AB644" s="149"/>
    </row>
    <row r="645">
      <c r="A645" s="149"/>
      <c r="B645" s="149"/>
      <c r="C645" s="155"/>
      <c r="D645" s="156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  <c r="AB645" s="149"/>
    </row>
    <row r="646">
      <c r="A646" s="149"/>
      <c r="B646" s="149"/>
      <c r="C646" s="155"/>
      <c r="D646" s="156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  <c r="AA646" s="149"/>
      <c r="AB646" s="149"/>
    </row>
    <row r="647">
      <c r="A647" s="149"/>
      <c r="B647" s="149"/>
      <c r="C647" s="155"/>
      <c r="D647" s="156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  <c r="AB647" s="149"/>
    </row>
    <row r="648">
      <c r="A648" s="149"/>
      <c r="B648" s="149"/>
      <c r="C648" s="155"/>
      <c r="D648" s="156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  <c r="AA648" s="149"/>
      <c r="AB648" s="149"/>
    </row>
    <row r="649">
      <c r="A649" s="149"/>
      <c r="B649" s="149"/>
      <c r="C649" s="155"/>
      <c r="D649" s="156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  <c r="AB649" s="149"/>
    </row>
    <row r="650">
      <c r="A650" s="149"/>
      <c r="B650" s="149"/>
      <c r="C650" s="155"/>
      <c r="D650" s="156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  <c r="AA650" s="149"/>
      <c r="AB650" s="149"/>
    </row>
    <row r="651">
      <c r="A651" s="149"/>
      <c r="B651" s="149"/>
      <c r="C651" s="155"/>
      <c r="D651" s="156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  <c r="AB651" s="149"/>
    </row>
    <row r="652">
      <c r="A652" s="149"/>
      <c r="B652" s="149"/>
      <c r="C652" s="155"/>
      <c r="D652" s="156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  <c r="AA652" s="149"/>
      <c r="AB652" s="149"/>
    </row>
    <row r="653">
      <c r="A653" s="149"/>
      <c r="B653" s="149"/>
      <c r="C653" s="155"/>
      <c r="D653" s="156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  <c r="AB653" s="149"/>
    </row>
    <row r="654">
      <c r="A654" s="149"/>
      <c r="B654" s="149"/>
      <c r="C654" s="155"/>
      <c r="D654" s="156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  <c r="AA654" s="149"/>
      <c r="AB654" s="149"/>
    </row>
    <row r="655">
      <c r="A655" s="149"/>
      <c r="B655" s="149"/>
      <c r="C655" s="155"/>
      <c r="D655" s="156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  <c r="AB655" s="149"/>
    </row>
    <row r="656">
      <c r="A656" s="149"/>
      <c r="B656" s="149"/>
      <c r="C656" s="155"/>
      <c r="D656" s="156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  <c r="AA656" s="149"/>
      <c r="AB656" s="149"/>
    </row>
    <row r="657">
      <c r="A657" s="149"/>
      <c r="B657" s="149"/>
      <c r="C657" s="155"/>
      <c r="D657" s="156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  <c r="AB657" s="149"/>
    </row>
    <row r="658">
      <c r="A658" s="149"/>
      <c r="B658" s="149"/>
      <c r="C658" s="155"/>
      <c r="D658" s="156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  <c r="AA658" s="149"/>
      <c r="AB658" s="149"/>
    </row>
    <row r="659">
      <c r="A659" s="149"/>
      <c r="B659" s="149"/>
      <c r="C659" s="155"/>
      <c r="D659" s="156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  <c r="AB659" s="149"/>
    </row>
    <row r="660">
      <c r="A660" s="149"/>
      <c r="B660" s="149"/>
      <c r="C660" s="155"/>
      <c r="D660" s="156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  <c r="AA660" s="149"/>
      <c r="AB660" s="149"/>
    </row>
    <row r="661">
      <c r="A661" s="149"/>
      <c r="B661" s="149"/>
      <c r="C661" s="155"/>
      <c r="D661" s="156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  <c r="AB661" s="149"/>
    </row>
    <row r="662">
      <c r="A662" s="149"/>
      <c r="B662" s="149"/>
      <c r="C662" s="155"/>
      <c r="D662" s="156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  <c r="AA662" s="149"/>
      <c r="AB662" s="149"/>
    </row>
    <row r="663">
      <c r="A663" s="149"/>
      <c r="B663" s="149"/>
      <c r="C663" s="155"/>
      <c r="D663" s="156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  <c r="AB663" s="149"/>
    </row>
    <row r="664">
      <c r="A664" s="149"/>
      <c r="B664" s="149"/>
      <c r="C664" s="155"/>
      <c r="D664" s="156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  <c r="AA664" s="149"/>
      <c r="AB664" s="149"/>
    </row>
    <row r="665">
      <c r="A665" s="149"/>
      <c r="B665" s="149"/>
      <c r="C665" s="155"/>
      <c r="D665" s="156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  <c r="AB665" s="149"/>
    </row>
    <row r="666">
      <c r="A666" s="149"/>
      <c r="B666" s="149"/>
      <c r="C666" s="155"/>
      <c r="D666" s="156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  <c r="AA666" s="149"/>
      <c r="AB666" s="149"/>
    </row>
    <row r="667">
      <c r="A667" s="149"/>
      <c r="B667" s="149"/>
      <c r="C667" s="155"/>
      <c r="D667" s="156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  <c r="AB667" s="149"/>
    </row>
    <row r="668">
      <c r="A668" s="149"/>
      <c r="B668" s="149"/>
      <c r="C668" s="155"/>
      <c r="D668" s="156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  <c r="AA668" s="149"/>
      <c r="AB668" s="149"/>
    </row>
    <row r="669">
      <c r="A669" s="149"/>
      <c r="B669" s="149"/>
      <c r="C669" s="155"/>
      <c r="D669" s="156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  <c r="AB669" s="149"/>
    </row>
    <row r="670">
      <c r="A670" s="149"/>
      <c r="B670" s="149"/>
      <c r="C670" s="155"/>
      <c r="D670" s="156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  <c r="AA670" s="149"/>
      <c r="AB670" s="149"/>
    </row>
    <row r="671">
      <c r="A671" s="149"/>
      <c r="B671" s="149"/>
      <c r="C671" s="155"/>
      <c r="D671" s="156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  <c r="AB671" s="149"/>
    </row>
    <row r="672">
      <c r="A672" s="149"/>
      <c r="B672" s="149"/>
      <c r="C672" s="155"/>
      <c r="D672" s="156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  <c r="AA672" s="149"/>
      <c r="AB672" s="149"/>
    </row>
    <row r="673">
      <c r="A673" s="149"/>
      <c r="B673" s="149"/>
      <c r="C673" s="155"/>
      <c r="D673" s="156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  <c r="AB673" s="149"/>
    </row>
    <row r="674">
      <c r="A674" s="149"/>
      <c r="B674" s="149"/>
      <c r="C674" s="155"/>
      <c r="D674" s="156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  <c r="AA674" s="149"/>
      <c r="AB674" s="149"/>
    </row>
    <row r="675">
      <c r="A675" s="149"/>
      <c r="B675" s="149"/>
      <c r="C675" s="155"/>
      <c r="D675" s="156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  <c r="AB675" s="149"/>
    </row>
    <row r="676">
      <c r="A676" s="149"/>
      <c r="B676" s="149"/>
      <c r="C676" s="155"/>
      <c r="D676" s="156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  <c r="AA676" s="149"/>
      <c r="AB676" s="149"/>
    </row>
    <row r="677">
      <c r="A677" s="149"/>
      <c r="B677" s="149"/>
      <c r="C677" s="155"/>
      <c r="D677" s="156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  <c r="AB677" s="149"/>
    </row>
    <row r="678">
      <c r="A678" s="149"/>
      <c r="B678" s="149"/>
      <c r="C678" s="155"/>
      <c r="D678" s="156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  <c r="AA678" s="149"/>
      <c r="AB678" s="149"/>
    </row>
    <row r="679">
      <c r="A679" s="149"/>
      <c r="B679" s="149"/>
      <c r="C679" s="155"/>
      <c r="D679" s="156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  <c r="AB679" s="149"/>
    </row>
    <row r="680">
      <c r="A680" s="149"/>
      <c r="B680" s="149"/>
      <c r="C680" s="155"/>
      <c r="D680" s="156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  <c r="AA680" s="149"/>
      <c r="AB680" s="149"/>
    </row>
    <row r="681">
      <c r="A681" s="149"/>
      <c r="B681" s="149"/>
      <c r="C681" s="155"/>
      <c r="D681" s="156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  <c r="AB681" s="149"/>
    </row>
    <row r="682">
      <c r="A682" s="149"/>
      <c r="B682" s="149"/>
      <c r="C682" s="155"/>
      <c r="D682" s="156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  <c r="AA682" s="149"/>
      <c r="AB682" s="149"/>
    </row>
    <row r="683">
      <c r="A683" s="149"/>
      <c r="B683" s="149"/>
      <c r="C683" s="155"/>
      <c r="D683" s="156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  <c r="AB683" s="149"/>
    </row>
    <row r="684">
      <c r="A684" s="149"/>
      <c r="B684" s="149"/>
      <c r="C684" s="155"/>
      <c r="D684" s="156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  <c r="AA684" s="149"/>
      <c r="AB684" s="149"/>
    </row>
    <row r="685">
      <c r="A685" s="149"/>
      <c r="B685" s="149"/>
      <c r="C685" s="155"/>
      <c r="D685" s="156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  <c r="AB685" s="149"/>
    </row>
    <row r="686">
      <c r="A686" s="149"/>
      <c r="B686" s="149"/>
      <c r="C686" s="155"/>
      <c r="D686" s="156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  <c r="AA686" s="149"/>
      <c r="AB686" s="149"/>
    </row>
    <row r="687">
      <c r="A687" s="149"/>
      <c r="B687" s="149"/>
      <c r="C687" s="155"/>
      <c r="D687" s="156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  <c r="AB687" s="149"/>
    </row>
    <row r="688">
      <c r="A688" s="149"/>
      <c r="B688" s="149"/>
      <c r="C688" s="155"/>
      <c r="D688" s="156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  <c r="AA688" s="149"/>
      <c r="AB688" s="149"/>
    </row>
    <row r="689">
      <c r="A689" s="149"/>
      <c r="B689" s="149"/>
      <c r="C689" s="155"/>
      <c r="D689" s="156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  <c r="AB689" s="149"/>
    </row>
    <row r="690">
      <c r="A690" s="149"/>
      <c r="B690" s="149"/>
      <c r="C690" s="155"/>
      <c r="D690" s="156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  <c r="AB690" s="149"/>
    </row>
    <row r="691">
      <c r="A691" s="149"/>
      <c r="B691" s="149"/>
      <c r="C691" s="155"/>
      <c r="D691" s="156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  <c r="AB691" s="149"/>
    </row>
    <row r="692">
      <c r="A692" s="149"/>
      <c r="B692" s="149"/>
      <c r="C692" s="155"/>
      <c r="D692" s="156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  <c r="AA692" s="149"/>
      <c r="AB692" s="149"/>
    </row>
    <row r="693">
      <c r="A693" s="149"/>
      <c r="B693" s="149"/>
      <c r="C693" s="155"/>
      <c r="D693" s="156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  <c r="AB693" s="149"/>
    </row>
    <row r="694">
      <c r="A694" s="149"/>
      <c r="B694" s="149"/>
      <c r="C694" s="155"/>
      <c r="D694" s="156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  <c r="AA694" s="149"/>
      <c r="AB694" s="149"/>
    </row>
    <row r="695">
      <c r="A695" s="149"/>
      <c r="B695" s="149"/>
      <c r="C695" s="155"/>
      <c r="D695" s="156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  <c r="AB695" s="149"/>
    </row>
    <row r="696">
      <c r="A696" s="149"/>
      <c r="B696" s="149"/>
      <c r="C696" s="155"/>
      <c r="D696" s="156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  <c r="AA696" s="149"/>
      <c r="AB696" s="149"/>
    </row>
    <row r="697">
      <c r="A697" s="149"/>
      <c r="B697" s="149"/>
      <c r="C697" s="155"/>
      <c r="D697" s="156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  <c r="AB697" s="149"/>
    </row>
    <row r="698">
      <c r="A698" s="149"/>
      <c r="B698" s="149"/>
      <c r="C698" s="155"/>
      <c r="D698" s="156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  <c r="AB698" s="149"/>
    </row>
    <row r="699">
      <c r="A699" s="149"/>
      <c r="B699" s="149"/>
      <c r="C699" s="155"/>
      <c r="D699" s="156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  <c r="AB699" s="149"/>
    </row>
    <row r="700">
      <c r="A700" s="149"/>
      <c r="B700" s="149"/>
      <c r="C700" s="155"/>
      <c r="D700" s="156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  <c r="AA700" s="149"/>
      <c r="AB700" s="149"/>
    </row>
    <row r="701">
      <c r="A701" s="149"/>
      <c r="B701" s="149"/>
      <c r="C701" s="155"/>
      <c r="D701" s="156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  <c r="AB701" s="149"/>
    </row>
    <row r="702">
      <c r="A702" s="149"/>
      <c r="B702" s="149"/>
      <c r="C702" s="155"/>
      <c r="D702" s="156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  <c r="AA702" s="149"/>
      <c r="AB702" s="149"/>
    </row>
    <row r="703">
      <c r="A703" s="149"/>
      <c r="B703" s="149"/>
      <c r="C703" s="155"/>
      <c r="D703" s="156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  <c r="AB703" s="149"/>
    </row>
    <row r="704">
      <c r="A704" s="149"/>
      <c r="B704" s="149"/>
      <c r="C704" s="155"/>
      <c r="D704" s="156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  <c r="AB704" s="149"/>
    </row>
    <row r="705">
      <c r="A705" s="149"/>
      <c r="B705" s="149"/>
      <c r="C705" s="155"/>
      <c r="D705" s="156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  <c r="AB705" s="149"/>
    </row>
    <row r="706">
      <c r="A706" s="149"/>
      <c r="B706" s="149"/>
      <c r="C706" s="155"/>
      <c r="D706" s="156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  <c r="AA706" s="149"/>
      <c r="AB706" s="149"/>
    </row>
    <row r="707">
      <c r="A707" s="149"/>
      <c r="B707" s="149"/>
      <c r="C707" s="155"/>
      <c r="D707" s="156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  <c r="AB707" s="149"/>
    </row>
    <row r="708">
      <c r="A708" s="149"/>
      <c r="B708" s="149"/>
      <c r="C708" s="155"/>
      <c r="D708" s="156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  <c r="AA708" s="149"/>
      <c r="AB708" s="149"/>
    </row>
    <row r="709">
      <c r="A709" s="149"/>
      <c r="B709" s="149"/>
      <c r="C709" s="155"/>
      <c r="D709" s="156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  <c r="AB709" s="149"/>
    </row>
    <row r="710">
      <c r="A710" s="149"/>
      <c r="B710" s="149"/>
      <c r="C710" s="155"/>
      <c r="D710" s="156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  <c r="AA710" s="149"/>
      <c r="AB710" s="149"/>
    </row>
    <row r="711">
      <c r="A711" s="149"/>
      <c r="B711" s="149"/>
      <c r="C711" s="155"/>
      <c r="D711" s="156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  <c r="AB711" s="149"/>
    </row>
    <row r="712">
      <c r="A712" s="149"/>
      <c r="B712" s="149"/>
      <c r="C712" s="155"/>
      <c r="D712" s="156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  <c r="AA712" s="149"/>
      <c r="AB712" s="149"/>
    </row>
    <row r="713">
      <c r="A713" s="149"/>
      <c r="B713" s="149"/>
      <c r="C713" s="155"/>
      <c r="D713" s="156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  <c r="AB713" s="149"/>
    </row>
    <row r="714">
      <c r="A714" s="149"/>
      <c r="B714" s="149"/>
      <c r="C714" s="155"/>
      <c r="D714" s="156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  <c r="AA714" s="149"/>
      <c r="AB714" s="149"/>
    </row>
    <row r="715">
      <c r="A715" s="149"/>
      <c r="B715" s="149"/>
      <c r="C715" s="155"/>
      <c r="D715" s="156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  <c r="AB715" s="149"/>
    </row>
    <row r="716">
      <c r="A716" s="149"/>
      <c r="B716" s="149"/>
      <c r="C716" s="155"/>
      <c r="D716" s="156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  <c r="AA716" s="149"/>
      <c r="AB716" s="149"/>
    </row>
    <row r="717">
      <c r="A717" s="149"/>
      <c r="B717" s="149"/>
      <c r="C717" s="155"/>
      <c r="D717" s="156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  <c r="AB717" s="149"/>
    </row>
    <row r="718">
      <c r="A718" s="149"/>
      <c r="B718" s="149"/>
      <c r="C718" s="155"/>
      <c r="D718" s="156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  <c r="AA718" s="149"/>
      <c r="AB718" s="149"/>
    </row>
    <row r="719">
      <c r="A719" s="149"/>
      <c r="B719" s="149"/>
      <c r="C719" s="155"/>
      <c r="D719" s="156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  <c r="AB719" s="149"/>
    </row>
    <row r="720">
      <c r="A720" s="149"/>
      <c r="B720" s="149"/>
      <c r="C720" s="155"/>
      <c r="D720" s="156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  <c r="AA720" s="149"/>
      <c r="AB720" s="149"/>
    </row>
    <row r="721">
      <c r="A721" s="149"/>
      <c r="B721" s="149"/>
      <c r="C721" s="155"/>
      <c r="D721" s="156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  <c r="AB721" s="149"/>
    </row>
    <row r="722">
      <c r="A722" s="149"/>
      <c r="B722" s="149"/>
      <c r="C722" s="155"/>
      <c r="D722" s="156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  <c r="AA722" s="149"/>
      <c r="AB722" s="149"/>
    </row>
    <row r="723">
      <c r="A723" s="149"/>
      <c r="B723" s="149"/>
      <c r="C723" s="155"/>
      <c r="D723" s="156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  <c r="AB723" s="149"/>
    </row>
    <row r="724">
      <c r="A724" s="149"/>
      <c r="B724" s="149"/>
      <c r="C724" s="155"/>
      <c r="D724" s="156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  <c r="AA724" s="149"/>
      <c r="AB724" s="149"/>
    </row>
    <row r="725">
      <c r="A725" s="149"/>
      <c r="B725" s="149"/>
      <c r="C725" s="155"/>
      <c r="D725" s="156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  <c r="AB725" s="149"/>
    </row>
    <row r="726">
      <c r="A726" s="149"/>
      <c r="B726" s="149"/>
      <c r="C726" s="155"/>
      <c r="D726" s="156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  <c r="AA726" s="149"/>
      <c r="AB726" s="149"/>
    </row>
    <row r="727">
      <c r="A727" s="149"/>
      <c r="B727" s="149"/>
      <c r="C727" s="155"/>
      <c r="D727" s="156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  <c r="AB727" s="149"/>
    </row>
    <row r="728">
      <c r="A728" s="149"/>
      <c r="B728" s="149"/>
      <c r="C728" s="155"/>
      <c r="D728" s="156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  <c r="AA728" s="149"/>
      <c r="AB728" s="149"/>
    </row>
    <row r="729">
      <c r="A729" s="149"/>
      <c r="B729" s="149"/>
      <c r="C729" s="155"/>
      <c r="D729" s="156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  <c r="AB729" s="149"/>
    </row>
    <row r="730">
      <c r="A730" s="149"/>
      <c r="B730" s="149"/>
      <c r="C730" s="155"/>
      <c r="D730" s="156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  <c r="AA730" s="149"/>
      <c r="AB730" s="149"/>
    </row>
    <row r="731">
      <c r="A731" s="149"/>
      <c r="B731" s="149"/>
      <c r="C731" s="155"/>
      <c r="D731" s="156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  <c r="AB731" s="149"/>
    </row>
    <row r="732">
      <c r="A732" s="149"/>
      <c r="B732" s="149"/>
      <c r="C732" s="155"/>
      <c r="D732" s="156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  <c r="AA732" s="149"/>
      <c r="AB732" s="149"/>
    </row>
    <row r="733">
      <c r="A733" s="149"/>
      <c r="B733" s="149"/>
      <c r="C733" s="155"/>
      <c r="D733" s="156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  <c r="AB733" s="149"/>
    </row>
    <row r="734">
      <c r="A734" s="149"/>
      <c r="B734" s="149"/>
      <c r="C734" s="155"/>
      <c r="D734" s="156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  <c r="AA734" s="149"/>
      <c r="AB734" s="149"/>
    </row>
    <row r="735">
      <c r="A735" s="149"/>
      <c r="B735" s="149"/>
      <c r="C735" s="155"/>
      <c r="D735" s="156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  <c r="AB735" s="149"/>
    </row>
    <row r="736">
      <c r="A736" s="149"/>
      <c r="B736" s="149"/>
      <c r="C736" s="155"/>
      <c r="D736" s="156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  <c r="AA736" s="149"/>
      <c r="AB736" s="149"/>
    </row>
    <row r="737">
      <c r="A737" s="149"/>
      <c r="B737" s="149"/>
      <c r="C737" s="155"/>
      <c r="D737" s="156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  <c r="AB737" s="149"/>
    </row>
    <row r="738">
      <c r="A738" s="149"/>
      <c r="B738" s="149"/>
      <c r="C738" s="155"/>
      <c r="D738" s="156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  <c r="AA738" s="149"/>
      <c r="AB738" s="149"/>
    </row>
    <row r="739">
      <c r="A739" s="149"/>
      <c r="B739" s="149"/>
      <c r="C739" s="155"/>
      <c r="D739" s="156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  <c r="AB739" s="149"/>
    </row>
    <row r="740">
      <c r="A740" s="149"/>
      <c r="B740" s="149"/>
      <c r="C740" s="155"/>
      <c r="D740" s="156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  <c r="AA740" s="149"/>
      <c r="AB740" s="149"/>
    </row>
    <row r="741">
      <c r="A741" s="149"/>
      <c r="B741" s="149"/>
      <c r="C741" s="155"/>
      <c r="D741" s="156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  <c r="AB741" s="149"/>
    </row>
    <row r="742">
      <c r="A742" s="149"/>
      <c r="B742" s="149"/>
      <c r="C742" s="155"/>
      <c r="D742" s="156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  <c r="AA742" s="149"/>
      <c r="AB742" s="149"/>
    </row>
    <row r="743">
      <c r="A743" s="149"/>
      <c r="B743" s="149"/>
      <c r="C743" s="155"/>
      <c r="D743" s="156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  <c r="AB743" s="149"/>
    </row>
    <row r="744">
      <c r="A744" s="149"/>
      <c r="B744" s="149"/>
      <c r="C744" s="155"/>
      <c r="D744" s="156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  <c r="AB744" s="149"/>
    </row>
    <row r="745">
      <c r="A745" s="149"/>
      <c r="B745" s="149"/>
      <c r="C745" s="155"/>
      <c r="D745" s="156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  <c r="AB745" s="149"/>
    </row>
    <row r="746">
      <c r="A746" s="149"/>
      <c r="B746" s="149"/>
      <c r="C746" s="155"/>
      <c r="D746" s="156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  <c r="AA746" s="149"/>
      <c r="AB746" s="149"/>
    </row>
    <row r="747">
      <c r="A747" s="149"/>
      <c r="B747" s="149"/>
      <c r="C747" s="155"/>
      <c r="D747" s="156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  <c r="AB747" s="149"/>
    </row>
    <row r="748">
      <c r="A748" s="149"/>
      <c r="B748" s="149"/>
      <c r="C748" s="155"/>
      <c r="D748" s="156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  <c r="AA748" s="149"/>
      <c r="AB748" s="149"/>
    </row>
    <row r="749">
      <c r="A749" s="149"/>
      <c r="B749" s="149"/>
      <c r="C749" s="155"/>
      <c r="D749" s="156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  <c r="AB749" s="149"/>
    </row>
    <row r="750">
      <c r="A750" s="149"/>
      <c r="B750" s="149"/>
      <c r="C750" s="155"/>
      <c r="D750" s="156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  <c r="AA750" s="149"/>
      <c r="AB750" s="149"/>
    </row>
    <row r="751">
      <c r="A751" s="149"/>
      <c r="B751" s="149"/>
      <c r="C751" s="155"/>
      <c r="D751" s="156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  <c r="AB751" s="149"/>
    </row>
    <row r="752">
      <c r="A752" s="149"/>
      <c r="B752" s="149"/>
      <c r="C752" s="155"/>
      <c r="D752" s="156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  <c r="AA752" s="149"/>
      <c r="AB752" s="149"/>
    </row>
    <row r="753">
      <c r="A753" s="149"/>
      <c r="B753" s="149"/>
      <c r="C753" s="155"/>
      <c r="D753" s="156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  <c r="AB753" s="149"/>
    </row>
    <row r="754">
      <c r="A754" s="149"/>
      <c r="B754" s="149"/>
      <c r="C754" s="155"/>
      <c r="D754" s="156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  <c r="AA754" s="149"/>
      <c r="AB754" s="149"/>
    </row>
    <row r="755">
      <c r="A755" s="149"/>
      <c r="B755" s="149"/>
      <c r="C755" s="155"/>
      <c r="D755" s="156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  <c r="AB755" s="149"/>
    </row>
    <row r="756">
      <c r="A756" s="149"/>
      <c r="B756" s="149"/>
      <c r="C756" s="155"/>
      <c r="D756" s="156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  <c r="AA756" s="149"/>
      <c r="AB756" s="149"/>
    </row>
    <row r="757">
      <c r="A757" s="149"/>
      <c r="B757" s="149"/>
      <c r="C757" s="155"/>
      <c r="D757" s="156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  <c r="AB757" s="149"/>
    </row>
    <row r="758">
      <c r="A758" s="149"/>
      <c r="B758" s="149"/>
      <c r="C758" s="155"/>
      <c r="D758" s="156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  <c r="AA758" s="149"/>
      <c r="AB758" s="149"/>
    </row>
    <row r="759">
      <c r="A759" s="149"/>
      <c r="B759" s="149"/>
      <c r="C759" s="155"/>
      <c r="D759" s="156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  <c r="AB759" s="149"/>
    </row>
    <row r="760">
      <c r="A760" s="149"/>
      <c r="B760" s="149"/>
      <c r="C760" s="155"/>
      <c r="D760" s="156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  <c r="AA760" s="149"/>
      <c r="AB760" s="149"/>
    </row>
    <row r="761">
      <c r="A761" s="149"/>
      <c r="B761" s="149"/>
      <c r="C761" s="155"/>
      <c r="D761" s="156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  <c r="AB761" s="149"/>
    </row>
    <row r="762">
      <c r="A762" s="149"/>
      <c r="B762" s="149"/>
      <c r="C762" s="155"/>
      <c r="D762" s="156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  <c r="AA762" s="149"/>
      <c r="AB762" s="149"/>
    </row>
    <row r="763">
      <c r="A763" s="149"/>
      <c r="B763" s="149"/>
      <c r="C763" s="155"/>
      <c r="D763" s="156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  <c r="AB763" s="149"/>
    </row>
    <row r="764">
      <c r="A764" s="149"/>
      <c r="B764" s="149"/>
      <c r="C764" s="155"/>
      <c r="D764" s="156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  <c r="AA764" s="149"/>
      <c r="AB764" s="149"/>
    </row>
    <row r="765">
      <c r="A765" s="149"/>
      <c r="B765" s="149"/>
      <c r="C765" s="155"/>
      <c r="D765" s="156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  <c r="AB765" s="149"/>
    </row>
    <row r="766">
      <c r="A766" s="149"/>
      <c r="B766" s="149"/>
      <c r="C766" s="155"/>
      <c r="D766" s="156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  <c r="AA766" s="149"/>
      <c r="AB766" s="149"/>
    </row>
    <row r="767">
      <c r="A767" s="149"/>
      <c r="B767" s="149"/>
      <c r="C767" s="155"/>
      <c r="D767" s="156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  <c r="AB767" s="149"/>
    </row>
    <row r="768">
      <c r="A768" s="149"/>
      <c r="B768" s="149"/>
      <c r="C768" s="155"/>
      <c r="D768" s="156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  <c r="AA768" s="149"/>
      <c r="AB768" s="149"/>
    </row>
    <row r="769">
      <c r="A769" s="149"/>
      <c r="B769" s="149"/>
      <c r="C769" s="155"/>
      <c r="D769" s="156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  <c r="AB769" s="149"/>
    </row>
    <row r="770">
      <c r="A770" s="149"/>
      <c r="B770" s="149"/>
      <c r="C770" s="155"/>
      <c r="D770" s="156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  <c r="AA770" s="149"/>
      <c r="AB770" s="149"/>
    </row>
    <row r="771">
      <c r="A771" s="149"/>
      <c r="B771" s="149"/>
      <c r="C771" s="155"/>
      <c r="D771" s="156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  <c r="AB771" s="149"/>
    </row>
    <row r="772">
      <c r="A772" s="149"/>
      <c r="B772" s="149"/>
      <c r="C772" s="155"/>
      <c r="D772" s="156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  <c r="AA772" s="149"/>
      <c r="AB772" s="149"/>
    </row>
    <row r="773">
      <c r="A773" s="149"/>
      <c r="B773" s="149"/>
      <c r="C773" s="155"/>
      <c r="D773" s="156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  <c r="AB773" s="149"/>
    </row>
    <row r="774">
      <c r="A774" s="149"/>
      <c r="B774" s="149"/>
      <c r="C774" s="155"/>
      <c r="D774" s="156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  <c r="AA774" s="149"/>
      <c r="AB774" s="149"/>
    </row>
    <row r="775">
      <c r="A775" s="149"/>
      <c r="B775" s="149"/>
      <c r="C775" s="155"/>
      <c r="D775" s="156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  <c r="AB775" s="149"/>
    </row>
    <row r="776">
      <c r="A776" s="149"/>
      <c r="B776" s="149"/>
      <c r="C776" s="155"/>
      <c r="D776" s="156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  <c r="AA776" s="149"/>
      <c r="AB776" s="149"/>
    </row>
    <row r="777">
      <c r="A777" s="149"/>
      <c r="B777" s="149"/>
      <c r="C777" s="155"/>
      <c r="D777" s="156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  <c r="AB777" s="149"/>
    </row>
    <row r="778">
      <c r="A778" s="149"/>
      <c r="B778" s="149"/>
      <c r="C778" s="155"/>
      <c r="D778" s="156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  <c r="AA778" s="149"/>
      <c r="AB778" s="149"/>
    </row>
    <row r="779">
      <c r="A779" s="149"/>
      <c r="B779" s="149"/>
      <c r="C779" s="155"/>
      <c r="D779" s="156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  <c r="AB779" s="149"/>
    </row>
    <row r="780">
      <c r="A780" s="149"/>
      <c r="B780" s="149"/>
      <c r="C780" s="155"/>
      <c r="D780" s="156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  <c r="AA780" s="149"/>
      <c r="AB780" s="149"/>
    </row>
    <row r="781">
      <c r="A781" s="149"/>
      <c r="B781" s="149"/>
      <c r="C781" s="155"/>
      <c r="D781" s="156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  <c r="AB781" s="149"/>
    </row>
    <row r="782">
      <c r="A782" s="149"/>
      <c r="B782" s="149"/>
      <c r="C782" s="155"/>
      <c r="D782" s="156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  <c r="AA782" s="149"/>
      <c r="AB782" s="149"/>
    </row>
    <row r="783">
      <c r="A783" s="149"/>
      <c r="B783" s="149"/>
      <c r="C783" s="155"/>
      <c r="D783" s="156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  <c r="AB783" s="149"/>
    </row>
    <row r="784">
      <c r="A784" s="149"/>
      <c r="B784" s="149"/>
      <c r="C784" s="155"/>
      <c r="D784" s="156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  <c r="AA784" s="149"/>
      <c r="AB784" s="149"/>
    </row>
    <row r="785">
      <c r="A785" s="149"/>
      <c r="B785" s="149"/>
      <c r="C785" s="155"/>
      <c r="D785" s="156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  <c r="AB785" s="149"/>
    </row>
    <row r="786">
      <c r="A786" s="149"/>
      <c r="B786" s="149"/>
      <c r="C786" s="155"/>
      <c r="D786" s="156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  <c r="AA786" s="149"/>
      <c r="AB786" s="149"/>
    </row>
    <row r="787">
      <c r="A787" s="149"/>
      <c r="B787" s="149"/>
      <c r="C787" s="155"/>
      <c r="D787" s="156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  <c r="AB787" s="149"/>
    </row>
    <row r="788">
      <c r="A788" s="149"/>
      <c r="B788" s="149"/>
      <c r="C788" s="155"/>
      <c r="D788" s="156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  <c r="AA788" s="149"/>
      <c r="AB788" s="149"/>
    </row>
    <row r="789">
      <c r="A789" s="149"/>
      <c r="B789" s="149"/>
      <c r="C789" s="155"/>
      <c r="D789" s="156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  <c r="AB789" s="149"/>
    </row>
    <row r="790">
      <c r="A790" s="149"/>
      <c r="B790" s="149"/>
      <c r="C790" s="155"/>
      <c r="D790" s="156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  <c r="AA790" s="149"/>
      <c r="AB790" s="149"/>
    </row>
    <row r="791">
      <c r="A791" s="149"/>
      <c r="B791" s="149"/>
      <c r="C791" s="155"/>
      <c r="D791" s="156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  <c r="AB791" s="149"/>
    </row>
    <row r="792">
      <c r="A792" s="149"/>
      <c r="B792" s="149"/>
      <c r="C792" s="155"/>
      <c r="D792" s="156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  <c r="AA792" s="149"/>
      <c r="AB792" s="149"/>
    </row>
    <row r="793">
      <c r="A793" s="149"/>
      <c r="B793" s="149"/>
      <c r="C793" s="155"/>
      <c r="D793" s="156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  <c r="AB793" s="149"/>
    </row>
    <row r="794">
      <c r="A794" s="149"/>
      <c r="B794" s="149"/>
      <c r="C794" s="155"/>
      <c r="D794" s="156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  <c r="AA794" s="149"/>
      <c r="AB794" s="149"/>
    </row>
    <row r="795">
      <c r="A795" s="149"/>
      <c r="B795" s="149"/>
      <c r="C795" s="155"/>
      <c r="D795" s="156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  <c r="AB795" s="149"/>
    </row>
    <row r="796">
      <c r="A796" s="149"/>
      <c r="B796" s="149"/>
      <c r="C796" s="155"/>
      <c r="D796" s="156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  <c r="AA796" s="149"/>
      <c r="AB796" s="149"/>
    </row>
    <row r="797">
      <c r="A797" s="149"/>
      <c r="B797" s="149"/>
      <c r="C797" s="155"/>
      <c r="D797" s="156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  <c r="AB797" s="149"/>
    </row>
    <row r="798">
      <c r="A798" s="149"/>
      <c r="B798" s="149"/>
      <c r="C798" s="155"/>
      <c r="D798" s="156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  <c r="AB798" s="149"/>
    </row>
    <row r="799">
      <c r="A799" s="149"/>
      <c r="B799" s="149"/>
      <c r="C799" s="155"/>
      <c r="D799" s="156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  <c r="AB799" s="149"/>
    </row>
    <row r="800">
      <c r="A800" s="149"/>
      <c r="B800" s="149"/>
      <c r="C800" s="155"/>
      <c r="D800" s="156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  <c r="AA800" s="149"/>
      <c r="AB800" s="149"/>
    </row>
    <row r="801">
      <c r="A801" s="149"/>
      <c r="B801" s="149"/>
      <c r="C801" s="155"/>
      <c r="D801" s="156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  <c r="AB801" s="149"/>
    </row>
    <row r="802">
      <c r="A802" s="149"/>
      <c r="B802" s="149"/>
      <c r="C802" s="155"/>
      <c r="D802" s="156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  <c r="AB802" s="149"/>
    </row>
    <row r="803">
      <c r="A803" s="149"/>
      <c r="B803" s="149"/>
      <c r="C803" s="155"/>
      <c r="D803" s="156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  <c r="AB803" s="149"/>
    </row>
    <row r="804">
      <c r="A804" s="149"/>
      <c r="B804" s="149"/>
      <c r="C804" s="155"/>
      <c r="D804" s="156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  <c r="AA804" s="149"/>
      <c r="AB804" s="149"/>
    </row>
    <row r="805">
      <c r="A805" s="149"/>
      <c r="B805" s="149"/>
      <c r="C805" s="155"/>
      <c r="D805" s="156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  <c r="AB805" s="149"/>
    </row>
    <row r="806">
      <c r="A806" s="149"/>
      <c r="B806" s="149"/>
      <c r="C806" s="155"/>
      <c r="D806" s="156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  <c r="AA806" s="149"/>
      <c r="AB806" s="149"/>
    </row>
    <row r="807">
      <c r="A807" s="149"/>
      <c r="B807" s="149"/>
      <c r="C807" s="155"/>
      <c r="D807" s="156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  <c r="AB807" s="149"/>
    </row>
    <row r="808">
      <c r="A808" s="149"/>
      <c r="B808" s="149"/>
      <c r="C808" s="155"/>
      <c r="D808" s="156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  <c r="AA808" s="149"/>
      <c r="AB808" s="149"/>
    </row>
    <row r="809">
      <c r="A809" s="149"/>
      <c r="B809" s="149"/>
      <c r="C809" s="155"/>
      <c r="D809" s="156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  <c r="AB809" s="149"/>
    </row>
    <row r="810">
      <c r="A810" s="149"/>
      <c r="B810" s="149"/>
      <c r="C810" s="155"/>
      <c r="D810" s="156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  <c r="AA810" s="149"/>
      <c r="AB810" s="149"/>
    </row>
    <row r="811">
      <c r="A811" s="149"/>
      <c r="B811" s="149"/>
      <c r="C811" s="155"/>
      <c r="D811" s="156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  <c r="AB811" s="149"/>
    </row>
    <row r="812">
      <c r="A812" s="149"/>
      <c r="B812" s="149"/>
      <c r="C812" s="155"/>
      <c r="D812" s="156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  <c r="AA812" s="149"/>
      <c r="AB812" s="149"/>
    </row>
    <row r="813">
      <c r="A813" s="149"/>
      <c r="B813" s="149"/>
      <c r="C813" s="155"/>
      <c r="D813" s="156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  <c r="AB813" s="149"/>
    </row>
    <row r="814">
      <c r="A814" s="149"/>
      <c r="B814" s="149"/>
      <c r="C814" s="155"/>
      <c r="D814" s="156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  <c r="AA814" s="149"/>
      <c r="AB814" s="149"/>
    </row>
    <row r="815">
      <c r="A815" s="149"/>
      <c r="B815" s="149"/>
      <c r="C815" s="155"/>
      <c r="D815" s="156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  <c r="AB815" s="149"/>
    </row>
    <row r="816">
      <c r="A816" s="149"/>
      <c r="B816" s="149"/>
      <c r="C816" s="155"/>
      <c r="D816" s="156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  <c r="AA816" s="149"/>
      <c r="AB816" s="149"/>
    </row>
    <row r="817">
      <c r="A817" s="149"/>
      <c r="B817" s="149"/>
      <c r="C817" s="155"/>
      <c r="D817" s="156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  <c r="AB817" s="149"/>
    </row>
    <row r="818">
      <c r="A818" s="149"/>
      <c r="B818" s="149"/>
      <c r="C818" s="155"/>
      <c r="D818" s="156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  <c r="AA818" s="149"/>
      <c r="AB818" s="149"/>
    </row>
    <row r="819">
      <c r="A819" s="149"/>
      <c r="B819" s="149"/>
      <c r="C819" s="155"/>
      <c r="D819" s="156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  <c r="AB819" s="149"/>
    </row>
    <row r="820">
      <c r="A820" s="149"/>
      <c r="B820" s="149"/>
      <c r="C820" s="155"/>
      <c r="D820" s="156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  <c r="AA820" s="149"/>
      <c r="AB820" s="149"/>
    </row>
    <row r="821">
      <c r="A821" s="149"/>
      <c r="B821" s="149"/>
      <c r="C821" s="155"/>
      <c r="D821" s="156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  <c r="AB821" s="149"/>
    </row>
    <row r="822">
      <c r="A822" s="149"/>
      <c r="B822" s="149"/>
      <c r="C822" s="155"/>
      <c r="D822" s="156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  <c r="AA822" s="149"/>
      <c r="AB822" s="149"/>
    </row>
    <row r="823">
      <c r="A823" s="149"/>
      <c r="B823" s="149"/>
      <c r="C823" s="155"/>
      <c r="D823" s="156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  <c r="AB823" s="149"/>
    </row>
    <row r="824">
      <c r="A824" s="149"/>
      <c r="B824" s="149"/>
      <c r="C824" s="155"/>
      <c r="D824" s="156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  <c r="AB824" s="149"/>
    </row>
    <row r="825">
      <c r="A825" s="149"/>
      <c r="B825" s="149"/>
      <c r="C825" s="155"/>
      <c r="D825" s="156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  <c r="AB825" s="149"/>
    </row>
    <row r="826">
      <c r="A826" s="149"/>
      <c r="B826" s="149"/>
      <c r="C826" s="155"/>
      <c r="D826" s="156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  <c r="AA826" s="149"/>
      <c r="AB826" s="149"/>
    </row>
    <row r="827">
      <c r="A827" s="149"/>
      <c r="B827" s="149"/>
      <c r="C827" s="155"/>
      <c r="D827" s="156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  <c r="AB827" s="149"/>
    </row>
    <row r="828">
      <c r="A828" s="149"/>
      <c r="B828" s="149"/>
      <c r="C828" s="155"/>
      <c r="D828" s="156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  <c r="AA828" s="149"/>
      <c r="AB828" s="149"/>
    </row>
    <row r="829">
      <c r="A829" s="149"/>
      <c r="B829" s="149"/>
      <c r="C829" s="155"/>
      <c r="D829" s="156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  <c r="AB829" s="149"/>
    </row>
    <row r="830">
      <c r="A830" s="149"/>
      <c r="B830" s="149"/>
      <c r="C830" s="155"/>
      <c r="D830" s="156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  <c r="AB830" s="149"/>
    </row>
    <row r="831">
      <c r="A831" s="149"/>
      <c r="B831" s="149"/>
      <c r="C831" s="155"/>
      <c r="D831" s="156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  <c r="AB831" s="149"/>
    </row>
    <row r="832">
      <c r="A832" s="149"/>
      <c r="B832" s="149"/>
      <c r="C832" s="155"/>
      <c r="D832" s="156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  <c r="AB832" s="149"/>
    </row>
    <row r="833">
      <c r="A833" s="149"/>
      <c r="B833" s="149"/>
      <c r="C833" s="155"/>
      <c r="D833" s="156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  <c r="AB833" s="149"/>
    </row>
    <row r="834">
      <c r="A834" s="149"/>
      <c r="B834" s="149"/>
      <c r="C834" s="155"/>
      <c r="D834" s="156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  <c r="AA834" s="149"/>
      <c r="AB834" s="149"/>
    </row>
    <row r="835">
      <c r="A835" s="149"/>
      <c r="B835" s="149"/>
      <c r="C835" s="155"/>
      <c r="D835" s="156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  <c r="AB835" s="149"/>
    </row>
    <row r="836">
      <c r="A836" s="149"/>
      <c r="B836" s="149"/>
      <c r="C836" s="155"/>
      <c r="D836" s="156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  <c r="AB836" s="149"/>
    </row>
    <row r="837">
      <c r="A837" s="149"/>
      <c r="B837" s="149"/>
      <c r="C837" s="155"/>
      <c r="D837" s="156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  <c r="AB837" s="149"/>
    </row>
    <row r="838">
      <c r="A838" s="149"/>
      <c r="B838" s="149"/>
      <c r="C838" s="155"/>
      <c r="D838" s="156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  <c r="AB838" s="149"/>
    </row>
    <row r="839">
      <c r="A839" s="149"/>
      <c r="B839" s="149"/>
      <c r="C839" s="155"/>
      <c r="D839" s="156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  <c r="AB839" s="149"/>
    </row>
    <row r="840">
      <c r="A840" s="149"/>
      <c r="B840" s="149"/>
      <c r="C840" s="155"/>
      <c r="D840" s="156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  <c r="AA840" s="149"/>
      <c r="AB840" s="149"/>
    </row>
    <row r="841">
      <c r="A841" s="149"/>
      <c r="B841" s="149"/>
      <c r="C841" s="155"/>
      <c r="D841" s="156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  <c r="AB841" s="149"/>
    </row>
    <row r="842">
      <c r="A842" s="149"/>
      <c r="B842" s="149"/>
      <c r="C842" s="155"/>
      <c r="D842" s="156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  <c r="AA842" s="149"/>
      <c r="AB842" s="149"/>
    </row>
    <row r="843">
      <c r="A843" s="149"/>
      <c r="B843" s="149"/>
      <c r="C843" s="155"/>
      <c r="D843" s="156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  <c r="AB843" s="149"/>
    </row>
    <row r="844">
      <c r="A844" s="149"/>
      <c r="B844" s="149"/>
      <c r="C844" s="155"/>
      <c r="D844" s="156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  <c r="AA844" s="149"/>
      <c r="AB844" s="149"/>
    </row>
    <row r="845">
      <c r="A845" s="149"/>
      <c r="B845" s="149"/>
      <c r="C845" s="155"/>
      <c r="D845" s="156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  <c r="AB845" s="149"/>
    </row>
    <row r="846">
      <c r="A846" s="149"/>
      <c r="B846" s="149"/>
      <c r="C846" s="155"/>
      <c r="D846" s="156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  <c r="AA846" s="149"/>
      <c r="AB846" s="149"/>
    </row>
    <row r="847">
      <c r="A847" s="149"/>
      <c r="B847" s="149"/>
      <c r="C847" s="155"/>
      <c r="D847" s="156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  <c r="AB847" s="149"/>
    </row>
    <row r="848">
      <c r="A848" s="149"/>
      <c r="B848" s="149"/>
      <c r="C848" s="155"/>
      <c r="D848" s="156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  <c r="AA848" s="149"/>
      <c r="AB848" s="149"/>
    </row>
    <row r="849">
      <c r="A849" s="149"/>
      <c r="B849" s="149"/>
      <c r="C849" s="155"/>
      <c r="D849" s="156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  <c r="AB849" s="149"/>
    </row>
    <row r="850">
      <c r="A850" s="149"/>
      <c r="B850" s="149"/>
      <c r="C850" s="155"/>
      <c r="D850" s="156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  <c r="AA850" s="149"/>
      <c r="AB850" s="149"/>
    </row>
    <row r="851">
      <c r="A851" s="149"/>
      <c r="B851" s="149"/>
      <c r="C851" s="155"/>
      <c r="D851" s="156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  <c r="AB851" s="149"/>
    </row>
    <row r="852">
      <c r="A852" s="149"/>
      <c r="B852" s="149"/>
      <c r="C852" s="155"/>
      <c r="D852" s="156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  <c r="AA852" s="149"/>
      <c r="AB852" s="149"/>
    </row>
    <row r="853">
      <c r="A853" s="149"/>
      <c r="B853" s="149"/>
      <c r="C853" s="155"/>
      <c r="D853" s="156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  <c r="AB853" s="149"/>
    </row>
    <row r="854">
      <c r="A854" s="149"/>
      <c r="B854" s="149"/>
      <c r="C854" s="155"/>
      <c r="D854" s="156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  <c r="AA854" s="149"/>
      <c r="AB854" s="149"/>
    </row>
    <row r="855">
      <c r="A855" s="149"/>
      <c r="B855" s="149"/>
      <c r="C855" s="155"/>
      <c r="D855" s="156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  <c r="AB855" s="149"/>
    </row>
    <row r="856">
      <c r="A856" s="149"/>
      <c r="B856" s="149"/>
      <c r="C856" s="155"/>
      <c r="D856" s="156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  <c r="AA856" s="149"/>
      <c r="AB856" s="149"/>
    </row>
    <row r="857">
      <c r="A857" s="149"/>
      <c r="B857" s="149"/>
      <c r="C857" s="155"/>
      <c r="D857" s="156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  <c r="AA857" s="149"/>
      <c r="AB857" s="149"/>
    </row>
    <row r="858">
      <c r="A858" s="149"/>
      <c r="B858" s="149"/>
      <c r="C858" s="155"/>
      <c r="D858" s="156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  <c r="AA858" s="149"/>
      <c r="AB858" s="149"/>
    </row>
    <row r="859">
      <c r="A859" s="149"/>
      <c r="B859" s="149"/>
      <c r="C859" s="155"/>
      <c r="D859" s="156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  <c r="AA859" s="149"/>
      <c r="AB859" s="149"/>
    </row>
    <row r="860">
      <c r="A860" s="149"/>
      <c r="B860" s="149"/>
      <c r="C860" s="155"/>
      <c r="D860" s="156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  <c r="AA860" s="149"/>
      <c r="AB860" s="149"/>
    </row>
    <row r="861">
      <c r="A861" s="149"/>
      <c r="B861" s="149"/>
      <c r="C861" s="155"/>
      <c r="D861" s="156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  <c r="AA861" s="149"/>
      <c r="AB861" s="149"/>
    </row>
    <row r="862">
      <c r="A862" s="149"/>
      <c r="B862" s="149"/>
      <c r="C862" s="155"/>
      <c r="D862" s="156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  <c r="AB862" s="149"/>
    </row>
    <row r="863">
      <c r="A863" s="149"/>
      <c r="B863" s="149"/>
      <c r="C863" s="155"/>
      <c r="D863" s="156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  <c r="AB863" s="149"/>
    </row>
    <row r="864">
      <c r="A864" s="149"/>
      <c r="B864" s="149"/>
      <c r="C864" s="155"/>
      <c r="D864" s="156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  <c r="AA864" s="149"/>
      <c r="AB864" s="149"/>
    </row>
    <row r="865">
      <c r="A865" s="149"/>
      <c r="B865" s="149"/>
      <c r="C865" s="155"/>
      <c r="D865" s="156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  <c r="AA865" s="149"/>
      <c r="AB865" s="149"/>
    </row>
    <row r="866">
      <c r="A866" s="149"/>
      <c r="B866" s="149"/>
      <c r="C866" s="155"/>
      <c r="D866" s="156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  <c r="AA866" s="149"/>
      <c r="AB866" s="149"/>
    </row>
    <row r="867">
      <c r="A867" s="149"/>
      <c r="B867" s="149"/>
      <c r="C867" s="155"/>
      <c r="D867" s="156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  <c r="AA867" s="149"/>
      <c r="AB867" s="149"/>
    </row>
    <row r="868">
      <c r="A868" s="149"/>
      <c r="B868" s="149"/>
      <c r="C868" s="155"/>
      <c r="D868" s="156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  <c r="AA868" s="149"/>
      <c r="AB868" s="149"/>
    </row>
    <row r="869">
      <c r="A869" s="149"/>
      <c r="B869" s="149"/>
      <c r="C869" s="155"/>
      <c r="D869" s="156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  <c r="AA869" s="149"/>
      <c r="AB869" s="149"/>
    </row>
    <row r="870">
      <c r="A870" s="149"/>
      <c r="B870" s="149"/>
      <c r="C870" s="155"/>
      <c r="D870" s="156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  <c r="AA870" s="149"/>
      <c r="AB870" s="149"/>
    </row>
    <row r="871">
      <c r="A871" s="149"/>
      <c r="B871" s="149"/>
      <c r="C871" s="155"/>
      <c r="D871" s="156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  <c r="AA871" s="149"/>
      <c r="AB871" s="149"/>
    </row>
    <row r="872">
      <c r="A872" s="149"/>
      <c r="B872" s="149"/>
      <c r="C872" s="155"/>
      <c r="D872" s="156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  <c r="AA872" s="149"/>
      <c r="AB872" s="149"/>
    </row>
    <row r="873">
      <c r="A873" s="149"/>
      <c r="B873" s="149"/>
      <c r="C873" s="155"/>
      <c r="D873" s="156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  <c r="AA873" s="149"/>
      <c r="AB873" s="149"/>
    </row>
    <row r="874">
      <c r="A874" s="149"/>
      <c r="B874" s="149"/>
      <c r="C874" s="155"/>
      <c r="D874" s="156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  <c r="AA874" s="149"/>
      <c r="AB874" s="149"/>
    </row>
    <row r="875">
      <c r="A875" s="149"/>
      <c r="B875" s="149"/>
      <c r="C875" s="155"/>
      <c r="D875" s="156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  <c r="AA875" s="149"/>
      <c r="AB875" s="149"/>
    </row>
    <row r="876">
      <c r="A876" s="149"/>
      <c r="B876" s="149"/>
      <c r="C876" s="155"/>
      <c r="D876" s="156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  <c r="AA876" s="149"/>
      <c r="AB876" s="149"/>
    </row>
    <row r="877">
      <c r="A877" s="149"/>
      <c r="B877" s="149"/>
      <c r="C877" s="155"/>
      <c r="D877" s="156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  <c r="AA877" s="149"/>
      <c r="AB877" s="149"/>
    </row>
    <row r="878">
      <c r="A878" s="149"/>
      <c r="B878" s="149"/>
      <c r="C878" s="155"/>
      <c r="D878" s="156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  <c r="AA878" s="149"/>
      <c r="AB878" s="149"/>
    </row>
    <row r="879">
      <c r="A879" s="149"/>
      <c r="B879" s="149"/>
      <c r="C879" s="155"/>
      <c r="D879" s="156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  <c r="AA879" s="149"/>
      <c r="AB879" s="149"/>
    </row>
    <row r="880">
      <c r="A880" s="149"/>
      <c r="B880" s="149"/>
      <c r="C880" s="155"/>
      <c r="D880" s="156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  <c r="AA880" s="149"/>
      <c r="AB880" s="149"/>
    </row>
    <row r="881">
      <c r="A881" s="149"/>
      <c r="B881" s="149"/>
      <c r="C881" s="155"/>
      <c r="D881" s="156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  <c r="AB881" s="149"/>
    </row>
    <row r="882">
      <c r="A882" s="149"/>
      <c r="B882" s="149"/>
      <c r="C882" s="155"/>
      <c r="D882" s="156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  <c r="AA882" s="149"/>
      <c r="AB882" s="149"/>
    </row>
    <row r="883">
      <c r="A883" s="149"/>
      <c r="B883" s="149"/>
      <c r="C883" s="155"/>
      <c r="D883" s="156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  <c r="AA883" s="149"/>
      <c r="AB883" s="149"/>
    </row>
    <row r="884">
      <c r="A884" s="149"/>
      <c r="B884" s="149"/>
      <c r="C884" s="155"/>
      <c r="D884" s="156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  <c r="AA884" s="149"/>
      <c r="AB884" s="149"/>
    </row>
    <row r="885">
      <c r="A885" s="149"/>
      <c r="B885" s="149"/>
      <c r="C885" s="155"/>
      <c r="D885" s="156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  <c r="AA885" s="149"/>
      <c r="AB885" s="149"/>
    </row>
    <row r="886">
      <c r="A886" s="149"/>
      <c r="B886" s="149"/>
      <c r="C886" s="155"/>
      <c r="D886" s="156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  <c r="AA886" s="149"/>
      <c r="AB886" s="149"/>
    </row>
    <row r="887">
      <c r="A887" s="149"/>
      <c r="B887" s="149"/>
      <c r="C887" s="155"/>
      <c r="D887" s="156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  <c r="AA887" s="149"/>
      <c r="AB887" s="149"/>
    </row>
    <row r="888">
      <c r="A888" s="149"/>
      <c r="B888" s="149"/>
      <c r="C888" s="155"/>
      <c r="D888" s="156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  <c r="AA888" s="149"/>
      <c r="AB888" s="149"/>
    </row>
    <row r="889">
      <c r="A889" s="149"/>
      <c r="B889" s="149"/>
      <c r="C889" s="155"/>
      <c r="D889" s="156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  <c r="AA889" s="149"/>
      <c r="AB889" s="149"/>
    </row>
    <row r="890">
      <c r="A890" s="149"/>
      <c r="B890" s="149"/>
      <c r="C890" s="155"/>
      <c r="D890" s="156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  <c r="AA890" s="149"/>
      <c r="AB890" s="149"/>
    </row>
    <row r="891">
      <c r="A891" s="149"/>
      <c r="B891" s="149"/>
      <c r="C891" s="155"/>
      <c r="D891" s="156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  <c r="AA891" s="149"/>
      <c r="AB891" s="149"/>
    </row>
    <row r="892">
      <c r="A892" s="149"/>
      <c r="B892" s="149"/>
      <c r="C892" s="155"/>
      <c r="D892" s="156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  <c r="AA892" s="149"/>
      <c r="AB892" s="149"/>
    </row>
    <row r="893">
      <c r="A893" s="149"/>
      <c r="B893" s="149"/>
      <c r="C893" s="155"/>
      <c r="D893" s="156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  <c r="AA893" s="149"/>
      <c r="AB893" s="149"/>
    </row>
    <row r="894">
      <c r="A894" s="149"/>
      <c r="B894" s="149"/>
      <c r="C894" s="155"/>
      <c r="D894" s="156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  <c r="AA894" s="149"/>
      <c r="AB894" s="149"/>
    </row>
    <row r="895">
      <c r="A895" s="149"/>
      <c r="B895" s="149"/>
      <c r="C895" s="155"/>
      <c r="D895" s="156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  <c r="AA895" s="149"/>
      <c r="AB895" s="149"/>
    </row>
    <row r="896">
      <c r="A896" s="149"/>
      <c r="B896" s="149"/>
      <c r="C896" s="155"/>
      <c r="D896" s="156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  <c r="AA896" s="149"/>
      <c r="AB896" s="149"/>
    </row>
    <row r="897">
      <c r="A897" s="149"/>
      <c r="B897" s="149"/>
      <c r="C897" s="155"/>
      <c r="D897" s="156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  <c r="AA897" s="149"/>
      <c r="AB897" s="149"/>
    </row>
    <row r="898">
      <c r="A898" s="149"/>
      <c r="B898" s="149"/>
      <c r="C898" s="155"/>
      <c r="D898" s="156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  <c r="AA898" s="149"/>
      <c r="AB898" s="149"/>
    </row>
    <row r="899">
      <c r="A899" s="149"/>
      <c r="B899" s="149"/>
      <c r="C899" s="155"/>
      <c r="D899" s="156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  <c r="AA899" s="149"/>
      <c r="AB899" s="149"/>
    </row>
    <row r="900">
      <c r="A900" s="149"/>
      <c r="B900" s="149"/>
      <c r="C900" s="155"/>
      <c r="D900" s="156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  <c r="AA900" s="149"/>
      <c r="AB900" s="149"/>
    </row>
    <row r="901">
      <c r="A901" s="149"/>
      <c r="B901" s="149"/>
      <c r="C901" s="155"/>
      <c r="D901" s="156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  <c r="AA901" s="149"/>
      <c r="AB901" s="149"/>
    </row>
    <row r="902">
      <c r="A902" s="149"/>
      <c r="B902" s="149"/>
      <c r="C902" s="155"/>
      <c r="D902" s="156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  <c r="AA902" s="149"/>
      <c r="AB902" s="149"/>
    </row>
    <row r="903">
      <c r="A903" s="149"/>
      <c r="B903" s="149"/>
      <c r="C903" s="155"/>
      <c r="D903" s="156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  <c r="AA903" s="149"/>
      <c r="AB903" s="149"/>
    </row>
    <row r="904">
      <c r="A904" s="149"/>
      <c r="B904" s="149"/>
      <c r="C904" s="155"/>
      <c r="D904" s="156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  <c r="AA904" s="149"/>
      <c r="AB904" s="149"/>
    </row>
    <row r="905">
      <c r="A905" s="149"/>
      <c r="B905" s="149"/>
      <c r="C905" s="155"/>
      <c r="D905" s="156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  <c r="AA905" s="149"/>
      <c r="AB905" s="149"/>
    </row>
    <row r="906">
      <c r="A906" s="149"/>
      <c r="B906" s="149"/>
      <c r="C906" s="155"/>
      <c r="D906" s="156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  <c r="AA906" s="149"/>
      <c r="AB906" s="149"/>
    </row>
    <row r="907">
      <c r="A907" s="149"/>
      <c r="B907" s="149"/>
      <c r="C907" s="155"/>
      <c r="D907" s="156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  <c r="AA907" s="149"/>
      <c r="AB907" s="149"/>
    </row>
    <row r="908">
      <c r="A908" s="149"/>
      <c r="B908" s="149"/>
      <c r="C908" s="155"/>
      <c r="D908" s="156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  <c r="AA908" s="149"/>
      <c r="AB908" s="149"/>
    </row>
    <row r="909">
      <c r="A909" s="149"/>
      <c r="B909" s="149"/>
      <c r="C909" s="155"/>
      <c r="D909" s="156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  <c r="AA909" s="149"/>
      <c r="AB909" s="149"/>
    </row>
    <row r="910">
      <c r="A910" s="149"/>
      <c r="B910" s="149"/>
      <c r="C910" s="155"/>
      <c r="D910" s="156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  <c r="AA910" s="149"/>
      <c r="AB910" s="149"/>
    </row>
    <row r="911">
      <c r="A911" s="149"/>
      <c r="B911" s="149"/>
      <c r="C911" s="155"/>
      <c r="D911" s="156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  <c r="AA911" s="149"/>
      <c r="AB911" s="149"/>
    </row>
    <row r="912">
      <c r="A912" s="149"/>
      <c r="B912" s="149"/>
      <c r="C912" s="155"/>
      <c r="D912" s="156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  <c r="AA912" s="149"/>
      <c r="AB912" s="149"/>
    </row>
    <row r="913">
      <c r="A913" s="149"/>
      <c r="B913" s="149"/>
      <c r="C913" s="155"/>
      <c r="D913" s="156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  <c r="AA913" s="149"/>
      <c r="AB913" s="149"/>
    </row>
    <row r="914">
      <c r="A914" s="149"/>
      <c r="B914" s="149"/>
      <c r="C914" s="155"/>
      <c r="D914" s="156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  <c r="AA914" s="149"/>
      <c r="AB914" s="149"/>
    </row>
    <row r="915">
      <c r="A915" s="149"/>
      <c r="B915" s="149"/>
      <c r="C915" s="155"/>
      <c r="D915" s="156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  <c r="AA915" s="149"/>
      <c r="AB915" s="149"/>
    </row>
    <row r="916">
      <c r="A916" s="149"/>
      <c r="B916" s="149"/>
      <c r="C916" s="155"/>
      <c r="D916" s="156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  <c r="AA916" s="149"/>
      <c r="AB916" s="149"/>
    </row>
    <row r="917">
      <c r="A917" s="149"/>
      <c r="B917" s="149"/>
      <c r="C917" s="155"/>
      <c r="D917" s="156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  <c r="AA917" s="149"/>
      <c r="AB917" s="149"/>
    </row>
    <row r="918">
      <c r="A918" s="149"/>
      <c r="B918" s="149"/>
      <c r="C918" s="155"/>
      <c r="D918" s="156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  <c r="AA918" s="149"/>
      <c r="AB918" s="149"/>
    </row>
    <row r="919">
      <c r="A919" s="149"/>
      <c r="B919" s="149"/>
      <c r="C919" s="155"/>
      <c r="D919" s="156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  <c r="AA919" s="149"/>
      <c r="AB919" s="149"/>
    </row>
    <row r="920">
      <c r="A920" s="149"/>
      <c r="B920" s="149"/>
      <c r="C920" s="155"/>
      <c r="D920" s="156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  <c r="AA920" s="149"/>
      <c r="AB920" s="149"/>
    </row>
    <row r="921">
      <c r="A921" s="149"/>
      <c r="B921" s="149"/>
      <c r="C921" s="155"/>
      <c r="D921" s="156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  <c r="AA921" s="149"/>
      <c r="AB921" s="149"/>
    </row>
    <row r="922">
      <c r="A922" s="149"/>
      <c r="B922" s="149"/>
      <c r="C922" s="155"/>
      <c r="D922" s="156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  <c r="AA922" s="149"/>
      <c r="AB922" s="149"/>
    </row>
    <row r="923">
      <c r="A923" s="149"/>
      <c r="B923" s="149"/>
      <c r="C923" s="155"/>
      <c r="D923" s="156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  <c r="AA923" s="149"/>
      <c r="AB923" s="149"/>
    </row>
    <row r="924">
      <c r="A924" s="149"/>
      <c r="B924" s="149"/>
      <c r="C924" s="155"/>
      <c r="D924" s="156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  <c r="AA924" s="149"/>
      <c r="AB924" s="149"/>
    </row>
    <row r="925">
      <c r="A925" s="149"/>
      <c r="B925" s="149"/>
      <c r="C925" s="155"/>
      <c r="D925" s="156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  <c r="AA925" s="149"/>
      <c r="AB925" s="149"/>
    </row>
    <row r="926">
      <c r="A926" s="149"/>
      <c r="B926" s="149"/>
      <c r="C926" s="155"/>
      <c r="D926" s="156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  <c r="AA926" s="149"/>
      <c r="AB926" s="149"/>
    </row>
    <row r="927">
      <c r="A927" s="149"/>
      <c r="B927" s="149"/>
      <c r="C927" s="155"/>
      <c r="D927" s="156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  <c r="AA927" s="149"/>
      <c r="AB927" s="149"/>
    </row>
    <row r="928">
      <c r="A928" s="149"/>
      <c r="B928" s="149"/>
      <c r="C928" s="155"/>
      <c r="D928" s="156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  <c r="AA928" s="149"/>
      <c r="AB928" s="149"/>
    </row>
    <row r="929">
      <c r="A929" s="149"/>
      <c r="B929" s="149"/>
      <c r="C929" s="155"/>
      <c r="D929" s="156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  <c r="AA929" s="149"/>
      <c r="AB929" s="149"/>
    </row>
    <row r="930">
      <c r="A930" s="149"/>
      <c r="B930" s="149"/>
      <c r="C930" s="155"/>
      <c r="D930" s="156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  <c r="AA930" s="149"/>
      <c r="AB930" s="149"/>
    </row>
    <row r="931">
      <c r="A931" s="149"/>
      <c r="B931" s="149"/>
      <c r="C931" s="155"/>
      <c r="D931" s="156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  <c r="AA931" s="149"/>
      <c r="AB931" s="149"/>
    </row>
    <row r="932">
      <c r="A932" s="149"/>
      <c r="B932" s="149"/>
      <c r="C932" s="155"/>
      <c r="D932" s="156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  <c r="AA932" s="149"/>
      <c r="AB932" s="149"/>
    </row>
    <row r="933">
      <c r="A933" s="149"/>
      <c r="B933" s="149"/>
      <c r="C933" s="155"/>
      <c r="D933" s="156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  <c r="AA933" s="149"/>
      <c r="AB933" s="149"/>
    </row>
    <row r="934">
      <c r="A934" s="149"/>
      <c r="B934" s="149"/>
      <c r="C934" s="155"/>
      <c r="D934" s="156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  <c r="AA934" s="149"/>
      <c r="AB934" s="149"/>
    </row>
    <row r="935">
      <c r="A935" s="149"/>
      <c r="B935" s="149"/>
      <c r="C935" s="155"/>
      <c r="D935" s="156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  <c r="AA935" s="149"/>
      <c r="AB935" s="149"/>
    </row>
    <row r="936">
      <c r="A936" s="149"/>
      <c r="B936" s="149"/>
      <c r="C936" s="155"/>
      <c r="D936" s="156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  <c r="AA936" s="149"/>
      <c r="AB936" s="149"/>
    </row>
    <row r="937">
      <c r="A937" s="149"/>
      <c r="B937" s="149"/>
      <c r="C937" s="155"/>
      <c r="D937" s="156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  <c r="AA937" s="149"/>
      <c r="AB937" s="149"/>
    </row>
    <row r="938">
      <c r="A938" s="149"/>
      <c r="B938" s="149"/>
      <c r="C938" s="155"/>
      <c r="D938" s="156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  <c r="AA938" s="149"/>
      <c r="AB938" s="149"/>
    </row>
    <row r="939">
      <c r="A939" s="149"/>
      <c r="B939" s="149"/>
      <c r="C939" s="155"/>
      <c r="D939" s="156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  <c r="AA939" s="149"/>
      <c r="AB939" s="149"/>
    </row>
    <row r="940">
      <c r="A940" s="149"/>
      <c r="B940" s="149"/>
      <c r="C940" s="155"/>
      <c r="D940" s="156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  <c r="AA940" s="149"/>
      <c r="AB940" s="149"/>
    </row>
    <row r="941">
      <c r="A941" s="149"/>
      <c r="B941" s="149"/>
      <c r="C941" s="155"/>
      <c r="D941" s="156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  <c r="AA941" s="149"/>
      <c r="AB941" s="149"/>
    </row>
    <row r="942">
      <c r="A942" s="149"/>
      <c r="B942" s="149"/>
      <c r="C942" s="155"/>
      <c r="D942" s="156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  <c r="AA942" s="149"/>
      <c r="AB942" s="149"/>
    </row>
    <row r="943">
      <c r="A943" s="149"/>
      <c r="B943" s="149"/>
      <c r="C943" s="155"/>
      <c r="D943" s="156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  <c r="AA943" s="149"/>
      <c r="AB943" s="149"/>
    </row>
    <row r="944">
      <c r="A944" s="149"/>
      <c r="B944" s="149"/>
      <c r="C944" s="155"/>
      <c r="D944" s="156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  <c r="AA944" s="149"/>
      <c r="AB944" s="149"/>
    </row>
    <row r="945">
      <c r="A945" s="149"/>
      <c r="B945" s="149"/>
      <c r="C945" s="155"/>
      <c r="D945" s="156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  <c r="AA945" s="149"/>
      <c r="AB945" s="149"/>
    </row>
    <row r="946">
      <c r="A946" s="149"/>
      <c r="B946" s="149"/>
      <c r="C946" s="155"/>
      <c r="D946" s="156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  <c r="AA946" s="149"/>
      <c r="AB946" s="149"/>
    </row>
    <row r="947">
      <c r="A947" s="149"/>
      <c r="B947" s="149"/>
      <c r="C947" s="155"/>
      <c r="D947" s="156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  <c r="AA947" s="149"/>
      <c r="AB947" s="149"/>
    </row>
    <row r="948">
      <c r="A948" s="149"/>
      <c r="B948" s="149"/>
      <c r="C948" s="155"/>
      <c r="D948" s="156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  <c r="AA948" s="149"/>
      <c r="AB948" s="149"/>
    </row>
    <row r="949">
      <c r="A949" s="149"/>
      <c r="B949" s="149"/>
      <c r="C949" s="155"/>
      <c r="D949" s="156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  <c r="AA949" s="149"/>
      <c r="AB949" s="149"/>
    </row>
    <row r="950">
      <c r="A950" s="149"/>
      <c r="B950" s="149"/>
      <c r="C950" s="155"/>
      <c r="D950" s="156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  <c r="AA950" s="149"/>
      <c r="AB950" s="149"/>
    </row>
    <row r="951">
      <c r="A951" s="149"/>
      <c r="B951" s="149"/>
      <c r="C951" s="155"/>
      <c r="D951" s="156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  <c r="AA951" s="149"/>
      <c r="AB951" s="149"/>
    </row>
    <row r="952">
      <c r="A952" s="149"/>
      <c r="B952" s="149"/>
      <c r="C952" s="155"/>
      <c r="D952" s="156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  <c r="AA952" s="149"/>
      <c r="AB952" s="149"/>
    </row>
    <row r="953">
      <c r="A953" s="149"/>
      <c r="B953" s="149"/>
      <c r="C953" s="155"/>
      <c r="D953" s="156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  <c r="AA953" s="149"/>
      <c r="AB953" s="149"/>
    </row>
    <row r="954">
      <c r="A954" s="149"/>
      <c r="B954" s="149"/>
      <c r="C954" s="155"/>
      <c r="D954" s="156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  <c r="AA954" s="149"/>
      <c r="AB954" s="149"/>
    </row>
    <row r="955">
      <c r="A955" s="149"/>
      <c r="B955" s="149"/>
      <c r="C955" s="155"/>
      <c r="D955" s="156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  <c r="AA955" s="149"/>
      <c r="AB955" s="149"/>
    </row>
    <row r="956">
      <c r="A956" s="149"/>
      <c r="B956" s="149"/>
      <c r="C956" s="155"/>
      <c r="D956" s="156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  <c r="AA956" s="149"/>
      <c r="AB956" s="149"/>
    </row>
    <row r="957">
      <c r="A957" s="149"/>
      <c r="B957" s="149"/>
      <c r="C957" s="155"/>
      <c r="D957" s="156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  <c r="AA957" s="149"/>
      <c r="AB957" s="149"/>
    </row>
    <row r="958">
      <c r="A958" s="149"/>
      <c r="B958" s="149"/>
      <c r="C958" s="155"/>
      <c r="D958" s="156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  <c r="AA958" s="149"/>
      <c r="AB958" s="149"/>
    </row>
    <row r="959">
      <c r="A959" s="149"/>
      <c r="B959" s="149"/>
      <c r="C959" s="155"/>
      <c r="D959" s="156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  <c r="AA959" s="149"/>
      <c r="AB959" s="149"/>
    </row>
    <row r="960">
      <c r="A960" s="149"/>
      <c r="B960" s="149"/>
      <c r="C960" s="155"/>
      <c r="D960" s="156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  <c r="AA960" s="149"/>
      <c r="AB960" s="149"/>
    </row>
    <row r="961">
      <c r="A961" s="149"/>
      <c r="B961" s="149"/>
      <c r="C961" s="155"/>
      <c r="D961" s="156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  <c r="AA961" s="149"/>
      <c r="AB961" s="149"/>
    </row>
    <row r="962">
      <c r="A962" s="149"/>
      <c r="B962" s="149"/>
      <c r="C962" s="155"/>
      <c r="D962" s="156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  <c r="AA962" s="149"/>
      <c r="AB962" s="149"/>
    </row>
    <row r="963">
      <c r="A963" s="149"/>
      <c r="B963" s="149"/>
      <c r="C963" s="155"/>
      <c r="D963" s="156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  <c r="AA963" s="149"/>
      <c r="AB963" s="149"/>
    </row>
    <row r="964">
      <c r="A964" s="149"/>
      <c r="B964" s="149"/>
      <c r="C964" s="155"/>
      <c r="D964" s="156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  <c r="AA964" s="149"/>
      <c r="AB964" s="149"/>
    </row>
    <row r="965">
      <c r="A965" s="149"/>
      <c r="B965" s="149"/>
      <c r="C965" s="155"/>
      <c r="D965" s="156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  <c r="AA965" s="149"/>
      <c r="AB965" s="149"/>
    </row>
    <row r="966">
      <c r="A966" s="149"/>
      <c r="B966" s="149"/>
      <c r="C966" s="155"/>
      <c r="D966" s="156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  <c r="AA966" s="149"/>
      <c r="AB966" s="149"/>
    </row>
    <row r="967">
      <c r="A967" s="149"/>
      <c r="B967" s="149"/>
      <c r="C967" s="155"/>
      <c r="D967" s="156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  <c r="AA967" s="149"/>
      <c r="AB967" s="149"/>
    </row>
    <row r="968">
      <c r="A968" s="149"/>
      <c r="B968" s="149"/>
      <c r="C968" s="155"/>
      <c r="D968" s="156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  <c r="AA968" s="149"/>
      <c r="AB968" s="149"/>
    </row>
    <row r="969">
      <c r="A969" s="149"/>
      <c r="B969" s="149"/>
      <c r="C969" s="155"/>
      <c r="D969" s="156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  <c r="AA969" s="149"/>
      <c r="AB969" s="149"/>
    </row>
    <row r="970">
      <c r="A970" s="149"/>
      <c r="B970" s="149"/>
      <c r="C970" s="155"/>
      <c r="D970" s="156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  <c r="AA970" s="149"/>
      <c r="AB970" s="149"/>
    </row>
    <row r="971">
      <c r="A971" s="149"/>
      <c r="B971" s="149"/>
      <c r="C971" s="155"/>
      <c r="D971" s="156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  <c r="AA971" s="149"/>
      <c r="AB971" s="149"/>
    </row>
    <row r="972">
      <c r="A972" s="149"/>
      <c r="B972" s="149"/>
      <c r="C972" s="155"/>
      <c r="D972" s="156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  <c r="AA972" s="149"/>
      <c r="AB972" s="149"/>
    </row>
    <row r="973">
      <c r="A973" s="149"/>
      <c r="B973" s="149"/>
      <c r="C973" s="155"/>
      <c r="D973" s="156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  <c r="AA973" s="149"/>
      <c r="AB973" s="149"/>
    </row>
    <row r="974">
      <c r="A974" s="149"/>
      <c r="B974" s="149"/>
      <c r="C974" s="155"/>
      <c r="D974" s="156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  <c r="AA974" s="149"/>
      <c r="AB974" s="149"/>
    </row>
    <row r="975">
      <c r="A975" s="149"/>
      <c r="B975" s="149"/>
      <c r="C975" s="155"/>
      <c r="D975" s="156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  <c r="AA975" s="149"/>
      <c r="AB975" s="149"/>
    </row>
    <row r="976">
      <c r="A976" s="149"/>
      <c r="B976" s="149"/>
      <c r="C976" s="155"/>
      <c r="D976" s="156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  <c r="AA976" s="149"/>
      <c r="AB976" s="149"/>
    </row>
    <row r="977">
      <c r="A977" s="149"/>
      <c r="B977" s="149"/>
      <c r="C977" s="155"/>
      <c r="D977" s="156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  <c r="AA977" s="149"/>
      <c r="AB977" s="149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7" t="s">
        <v>314</v>
      </c>
      <c r="B1" s="178"/>
      <c r="C1" s="179"/>
      <c r="D1" s="180"/>
      <c r="E1" s="178"/>
      <c r="F1" s="178"/>
      <c r="G1" s="178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</row>
    <row r="2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</row>
    <row r="3">
      <c r="A3" s="182" t="s">
        <v>315</v>
      </c>
      <c r="B3" s="182" t="s">
        <v>316</v>
      </c>
      <c r="C3" s="182" t="s">
        <v>317</v>
      </c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</row>
    <row r="4" ht="15.75" customHeight="1">
      <c r="A4" s="183" t="s">
        <v>318</v>
      </c>
      <c r="B4" s="183" t="s">
        <v>319</v>
      </c>
      <c r="C4" s="183" t="s">
        <v>320</v>
      </c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</row>
    <row r="5" ht="15.75" customHeight="1">
      <c r="A5" s="146" t="s">
        <v>321</v>
      </c>
      <c r="B5" s="146"/>
      <c r="C5" s="146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</row>
    <row r="6" ht="15.75" customHeight="1">
      <c r="A6" s="183" t="s">
        <v>322</v>
      </c>
      <c r="B6" s="183" t="s">
        <v>323</v>
      </c>
      <c r="C6" s="183" t="s">
        <v>320</v>
      </c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</row>
    <row r="7" ht="15.75" customHeight="1">
      <c r="A7" s="184" t="s">
        <v>324</v>
      </c>
      <c r="B7" s="184"/>
      <c r="C7" s="184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</row>
    <row r="8" ht="15.75" customHeight="1">
      <c r="A8" s="183" t="s">
        <v>325</v>
      </c>
      <c r="B8" s="185" t="s">
        <v>326</v>
      </c>
      <c r="C8" s="185" t="s">
        <v>320</v>
      </c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</row>
    <row r="9" ht="15.75" customHeight="1">
      <c r="A9" s="186" t="s">
        <v>327</v>
      </c>
      <c r="B9" s="187"/>
      <c r="C9" s="186" t="s">
        <v>320</v>
      </c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</row>
    <row r="10" ht="15.75" customHeight="1">
      <c r="A10" s="181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</row>
    <row r="11" ht="15.75" customHeight="1">
      <c r="A11" s="181"/>
      <c r="B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</row>
    <row r="12" ht="15.75" customHeight="1">
      <c r="A12" s="181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</row>
    <row r="13" ht="15.75" customHeight="1">
      <c r="A13" s="181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</row>
    <row r="14" ht="15.75" customHeight="1">
      <c r="A14" s="181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</row>
    <row r="15" ht="15.75" customHeight="1">
      <c r="A15" s="181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</row>
    <row r="16" ht="15.75" customHeight="1">
      <c r="A16" s="181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</row>
    <row r="17" ht="15.75" customHeight="1">
      <c r="A17" s="181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</row>
    <row r="18" ht="15.75" customHeight="1">
      <c r="A18" s="181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</row>
    <row r="19" ht="15.75" customHeight="1">
      <c r="A19" s="181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</row>
    <row r="20" ht="15.75" customHeight="1">
      <c r="A20" s="181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</row>
    <row r="21" ht="15.75" customHeight="1">
      <c r="A21" s="181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</row>
    <row r="22" ht="15.75" customHeight="1">
      <c r="A22" s="181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</row>
    <row r="23" ht="15.75" customHeight="1">
      <c r="A23" s="181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</row>
    <row r="24" ht="15.75" customHeight="1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</row>
    <row r="25" ht="15.75" customHeight="1">
      <c r="A25" s="181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</row>
    <row r="26" ht="15.75" customHeight="1">
      <c r="A26" s="181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</row>
    <row r="27" ht="15.75" customHeight="1">
      <c r="A27" s="181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</row>
    <row r="28" ht="15.75" customHeight="1">
      <c r="A28" s="181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</row>
    <row r="29" ht="15.75" customHeight="1">
      <c r="A29" s="181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</row>
    <row r="30" ht="15.75" customHeight="1">
      <c r="A30" s="181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</row>
    <row r="31" ht="15.75" customHeight="1">
      <c r="A31" s="181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</row>
    <row r="32" ht="15.75" customHeight="1">
      <c r="A32" s="181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</row>
    <row r="33" ht="15.75" customHeight="1">
      <c r="A33" s="181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</row>
    <row r="34" ht="15.75" customHeight="1">
      <c r="A34" s="181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</row>
    <row r="35" ht="15.75" customHeight="1">
      <c r="A35" s="181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</row>
    <row r="36" ht="15.75" customHeight="1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</row>
    <row r="37" ht="15.75" customHeight="1">
      <c r="A37" s="181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</row>
    <row r="38" ht="15.75" customHeight="1">
      <c r="A38" s="181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</row>
    <row r="39" ht="15.75" customHeight="1">
      <c r="A39" s="181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 ht="15.75" customHeight="1">
      <c r="A40" s="181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</row>
    <row r="41" ht="15.75" customHeight="1">
      <c r="A41" s="181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</row>
    <row r="42" ht="15.75" customHeight="1">
      <c r="A42" s="181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</row>
    <row r="43" ht="15.75" customHeight="1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</row>
    <row r="44" ht="15.75" customHeight="1">
      <c r="A44" s="181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</row>
    <row r="45" ht="15.75" customHeight="1">
      <c r="A45" s="181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</row>
    <row r="46" ht="15.75" customHeight="1">
      <c r="A46" s="181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</row>
    <row r="47" ht="15.75" customHeight="1">
      <c r="A47" s="181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</row>
    <row r="48" ht="15.75" customHeight="1">
      <c r="A48" s="181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</row>
    <row r="49" ht="15.75" customHeight="1">
      <c r="A49" s="181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</row>
    <row r="50" ht="15.75" customHeight="1">
      <c r="A50" s="181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</row>
    <row r="51" ht="15.75" customHeight="1">
      <c r="A51" s="181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</row>
    <row r="52" ht="15.75" customHeight="1">
      <c r="A52" s="181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</row>
    <row r="53" ht="15.75" customHeight="1">
      <c r="A53" s="181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</row>
    <row r="54" ht="15.75" customHeight="1">
      <c r="A54" s="181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</row>
    <row r="55" ht="15.75" customHeight="1">
      <c r="A55" s="181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</row>
    <row r="56" ht="15.75" customHeight="1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</row>
    <row r="57" ht="15.75" customHeight="1">
      <c r="A57" s="181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</row>
    <row r="58" ht="15.75" customHeight="1">
      <c r="A58" s="181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</row>
    <row r="59" ht="15.75" customHeight="1">
      <c r="A59" s="181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</row>
    <row r="60" ht="15.75" customHeight="1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</row>
    <row r="61" ht="15.75" customHeight="1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</row>
    <row r="62" ht="15.75" customHeight="1">
      <c r="A62" s="181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</row>
    <row r="63" ht="15.75" customHeight="1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</row>
    <row r="64" ht="15.75" customHeight="1">
      <c r="A64" s="181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</row>
    <row r="65" ht="15.75" customHeight="1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</row>
    <row r="66" ht="15.75" customHeight="1">
      <c r="A66" s="181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</row>
    <row r="67" ht="15.75" customHeight="1">
      <c r="A67" s="181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</row>
    <row r="68" ht="15.75" customHeight="1">
      <c r="A68" s="181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/>
    </row>
    <row r="69" ht="15.75" customHeight="1">
      <c r="A69" s="181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</row>
    <row r="70" ht="15.75" customHeight="1">
      <c r="A70" s="181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</row>
    <row r="71" ht="15.75" customHeight="1">
      <c r="A71" s="181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</row>
    <row r="72" ht="15.75" customHeight="1">
      <c r="A72" s="181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</row>
    <row r="73" ht="15.75" customHeight="1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</row>
    <row r="74" ht="15.75" customHeight="1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</row>
    <row r="75" ht="15.75" customHeight="1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</row>
    <row r="76" ht="15.75" customHeight="1">
      <c r="A76" s="181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</row>
    <row r="77" ht="15.75" customHeight="1">
      <c r="A77" s="181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</row>
    <row r="78" ht="15.75" customHeight="1">
      <c r="A78" s="181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</row>
    <row r="79" ht="15.75" customHeight="1">
      <c r="A79" s="181"/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</row>
    <row r="80" ht="15.75" customHeight="1">
      <c r="A80" s="181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</row>
    <row r="81" ht="15.75" customHeight="1">
      <c r="A81" s="181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</row>
    <row r="82" ht="15.75" customHeight="1">
      <c r="A82" s="181"/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</row>
    <row r="83" ht="15.75" customHeight="1">
      <c r="A83" s="181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</row>
    <row r="84" ht="15.75" customHeight="1">
      <c r="A84" s="181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</row>
    <row r="85" ht="15.75" customHeight="1">
      <c r="A85" s="181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</row>
    <row r="86" ht="15.75" customHeight="1">
      <c r="A86" s="181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</row>
    <row r="87" ht="15.75" customHeight="1">
      <c r="A87" s="181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</row>
    <row r="88" ht="15.75" customHeight="1">
      <c r="A88" s="181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</row>
    <row r="89" ht="15.75" customHeight="1">
      <c r="A89" s="181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</row>
    <row r="90" ht="15.75" customHeight="1">
      <c r="A90" s="181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</row>
    <row r="91" ht="15.75" customHeight="1">
      <c r="A91" s="181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</row>
    <row r="92" ht="15.75" customHeight="1">
      <c r="A92" s="181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</row>
    <row r="93" ht="15.75" customHeight="1">
      <c r="A93" s="181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</row>
    <row r="94" ht="15.75" customHeight="1">
      <c r="A94" s="181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1"/>
    </row>
    <row r="95" ht="15.75" customHeight="1">
      <c r="A95" s="181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1"/>
    </row>
    <row r="96" ht="15.75" customHeight="1">
      <c r="A96" s="181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1"/>
    </row>
    <row r="97" ht="15.75" customHeight="1">
      <c r="A97" s="181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</row>
    <row r="98" ht="15.75" customHeight="1">
      <c r="A98" s="181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</row>
    <row r="99" ht="15.75" customHeight="1">
      <c r="A99" s="181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</row>
    <row r="100" ht="15.75" customHeight="1">
      <c r="A100" s="181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</row>
    <row r="101" ht="15.75" customHeight="1">
      <c r="A101" s="181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</row>
    <row r="102" ht="15.75" customHeight="1">
      <c r="A102" s="181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</row>
    <row r="103" ht="15.75" customHeight="1">
      <c r="A103" s="181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</row>
    <row r="104" ht="15.75" customHeight="1">
      <c r="A104" s="181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</row>
    <row r="105" ht="15.75" customHeight="1">
      <c r="A105" s="181"/>
      <c r="B105" s="181"/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</row>
    <row r="106" ht="15.75" customHeight="1">
      <c r="A106" s="181"/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</row>
    <row r="107" ht="15.75" customHeight="1">
      <c r="A107" s="181"/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</row>
    <row r="108" ht="15.75" customHeight="1">
      <c r="A108" s="181"/>
      <c r="B108" s="181"/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</row>
    <row r="109" ht="15.75" customHeight="1">
      <c r="A109" s="181"/>
      <c r="B109" s="181"/>
      <c r="C109" s="181"/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</row>
    <row r="110" ht="15.75" customHeight="1">
      <c r="A110" s="181"/>
      <c r="B110" s="181"/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</row>
    <row r="111" ht="15.75" customHeight="1">
      <c r="A111" s="181"/>
      <c r="B111" s="181"/>
      <c r="C111" s="181"/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</row>
    <row r="112" ht="15.75" customHeight="1">
      <c r="A112" s="181"/>
      <c r="B112" s="181"/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</row>
    <row r="113" ht="15.75" customHeight="1">
      <c r="A113" s="181"/>
      <c r="B113" s="181"/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1"/>
    </row>
    <row r="114" ht="15.75" customHeight="1">
      <c r="A114" s="181"/>
      <c r="B114" s="181"/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  <c r="AB114" s="181"/>
    </row>
    <row r="115" ht="15.75" customHeight="1">
      <c r="A115" s="181"/>
      <c r="B115" s="181"/>
      <c r="C115" s="181"/>
      <c r="D115" s="181"/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  <c r="AB115" s="181"/>
    </row>
    <row r="116" ht="15.75" customHeight="1">
      <c r="A116" s="181"/>
      <c r="B116" s="181"/>
      <c r="C116" s="181"/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1"/>
    </row>
    <row r="117" ht="15.75" customHeight="1">
      <c r="A117" s="181"/>
      <c r="B117" s="181"/>
      <c r="C117" s="181"/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1"/>
    </row>
    <row r="118" ht="15.75" customHeight="1">
      <c r="A118" s="181"/>
      <c r="B118" s="181"/>
      <c r="C118" s="181"/>
      <c r="D118" s="181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</row>
    <row r="119" ht="15.75" customHeight="1">
      <c r="A119" s="181"/>
      <c r="B119" s="181"/>
      <c r="C119" s="181"/>
      <c r="D119" s="18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1"/>
    </row>
    <row r="120" ht="15.75" customHeight="1">
      <c r="A120" s="181"/>
      <c r="B120" s="181"/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</row>
    <row r="121" ht="15.75" customHeight="1">
      <c r="A121" s="181"/>
      <c r="B121" s="181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</row>
    <row r="122" ht="15.75" customHeight="1">
      <c r="A122" s="181"/>
      <c r="B122" s="181"/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</row>
    <row r="123" ht="15.75" customHeight="1">
      <c r="A123" s="181"/>
      <c r="B123" s="181"/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</row>
    <row r="124" ht="15.75" customHeight="1">
      <c r="A124" s="181"/>
      <c r="B124" s="181"/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</row>
    <row r="125" ht="15.75" customHeight="1">
      <c r="A125" s="181"/>
      <c r="B125" s="181"/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</row>
    <row r="126" ht="15.75" customHeight="1">
      <c r="A126" s="181"/>
      <c r="B126" s="181"/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</row>
    <row r="127" ht="15.75" customHeight="1">
      <c r="A127" s="181"/>
      <c r="B127" s="181"/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</row>
    <row r="128" ht="15.75" customHeight="1">
      <c r="A128" s="181"/>
      <c r="B128" s="181"/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</row>
    <row r="129" ht="15.75" customHeight="1">
      <c r="A129" s="181"/>
      <c r="B129" s="181"/>
      <c r="C129" s="181"/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</row>
    <row r="130" ht="15.75" customHeight="1">
      <c r="A130" s="181"/>
      <c r="B130" s="181"/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</row>
    <row r="131" ht="15.75" customHeight="1">
      <c r="A131" s="181"/>
      <c r="B131" s="181"/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</row>
    <row r="132" ht="15.75" customHeight="1">
      <c r="A132" s="181"/>
      <c r="B132" s="181"/>
      <c r="C132" s="181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</row>
    <row r="133" ht="15.75" customHeight="1">
      <c r="A133" s="181"/>
      <c r="B133" s="181"/>
      <c r="C133" s="181"/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</row>
    <row r="134" ht="15.75" customHeight="1">
      <c r="A134" s="181"/>
      <c r="B134" s="181"/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</row>
    <row r="135" ht="15.75" customHeight="1">
      <c r="A135" s="181"/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</row>
    <row r="136" ht="15.75" customHeight="1">
      <c r="A136" s="181"/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</row>
    <row r="137" ht="15.75" customHeight="1">
      <c r="A137" s="181"/>
      <c r="B137" s="181"/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</row>
    <row r="138" ht="15.75" customHeight="1">
      <c r="A138" s="181"/>
      <c r="B138" s="181"/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</row>
    <row r="139" ht="15.75" customHeight="1">
      <c r="A139" s="181"/>
      <c r="B139" s="181"/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</row>
    <row r="140" ht="15.75" customHeight="1">
      <c r="A140" s="181"/>
      <c r="B140" s="181"/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</row>
    <row r="141" ht="15.75" customHeight="1">
      <c r="A141" s="181"/>
      <c r="B141" s="181"/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1"/>
    </row>
    <row r="142" ht="15.75" customHeight="1">
      <c r="A142" s="181"/>
      <c r="B142" s="181"/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</row>
    <row r="143" ht="15.75" customHeight="1">
      <c r="A143" s="181"/>
      <c r="B143" s="181"/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</row>
    <row r="144" ht="15.75" customHeight="1">
      <c r="A144" s="181"/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</row>
    <row r="145" ht="15.75" customHeight="1">
      <c r="A145" s="181"/>
      <c r="B145" s="181"/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</row>
    <row r="146" ht="15.75" customHeight="1">
      <c r="A146" s="181"/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</row>
    <row r="147" ht="15.75" customHeight="1">
      <c r="A147" s="181"/>
      <c r="B147" s="181"/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</row>
    <row r="148" ht="15.75" customHeight="1">
      <c r="A148" s="181"/>
      <c r="B148" s="181"/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</row>
    <row r="149" ht="15.75" customHeight="1">
      <c r="A149" s="181"/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</row>
    <row r="150" ht="15.75" customHeight="1">
      <c r="A150" s="181"/>
      <c r="B150" s="181"/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</row>
    <row r="151" ht="15.75" customHeight="1">
      <c r="A151" s="181"/>
      <c r="B151" s="181"/>
      <c r="C151" s="181"/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</row>
    <row r="152" ht="15.75" customHeight="1">
      <c r="A152" s="181"/>
      <c r="B152" s="181"/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</row>
    <row r="153" ht="15.75" customHeight="1">
      <c r="A153" s="181"/>
      <c r="B153" s="181"/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</row>
    <row r="154" ht="15.75" customHeight="1">
      <c r="A154" s="181"/>
      <c r="B154" s="181"/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</row>
    <row r="155" ht="15.75" customHeight="1">
      <c r="A155" s="181"/>
      <c r="B155" s="181"/>
      <c r="C155" s="181"/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</row>
    <row r="156" ht="15.75" customHeight="1">
      <c r="A156" s="181"/>
      <c r="B156" s="181"/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</row>
    <row r="157" ht="15.75" customHeight="1">
      <c r="A157" s="181"/>
      <c r="B157" s="181"/>
      <c r="C157" s="181"/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</row>
    <row r="158" ht="15.75" customHeight="1">
      <c r="A158" s="181"/>
      <c r="B158" s="181"/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</row>
    <row r="159" ht="15.75" customHeight="1">
      <c r="A159" s="181"/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1"/>
    </row>
    <row r="160" ht="15.75" customHeight="1">
      <c r="A160" s="181"/>
      <c r="B160" s="181"/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  <c r="AB160" s="181"/>
    </row>
    <row r="161" ht="15.75" customHeight="1">
      <c r="A161" s="181"/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  <c r="AB161" s="181"/>
    </row>
    <row r="162" ht="15.75" customHeight="1">
      <c r="A162" s="181"/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  <c r="AB162" s="181"/>
    </row>
    <row r="163" ht="15.75" customHeight="1">
      <c r="A163" s="181"/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  <c r="AB163" s="181"/>
    </row>
    <row r="164" ht="15.75" customHeight="1">
      <c r="A164" s="181"/>
      <c r="B164" s="181"/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1"/>
    </row>
    <row r="165" ht="15.75" customHeight="1">
      <c r="A165" s="181"/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  <c r="AB165" s="181"/>
    </row>
    <row r="166" ht="15.75" customHeight="1">
      <c r="A166" s="181"/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</row>
    <row r="167" ht="15.75" customHeight="1">
      <c r="A167" s="181"/>
      <c r="B167" s="181"/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</row>
    <row r="168" ht="15.75" customHeight="1">
      <c r="A168" s="181"/>
      <c r="B168" s="181"/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</row>
    <row r="169" ht="15.75" customHeight="1">
      <c r="A169" s="181"/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</row>
    <row r="170" ht="15.75" customHeight="1">
      <c r="A170" s="181"/>
      <c r="B170" s="181"/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</row>
    <row r="171" ht="15.75" customHeight="1">
      <c r="A171" s="181"/>
      <c r="B171" s="181"/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</row>
    <row r="172" ht="15.75" customHeight="1">
      <c r="A172" s="181"/>
      <c r="B172" s="181"/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</row>
    <row r="173" ht="15.75" customHeight="1">
      <c r="A173" s="181"/>
      <c r="B173" s="181"/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</row>
    <row r="174" ht="15.75" customHeight="1">
      <c r="A174" s="181"/>
      <c r="B174" s="181"/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</row>
    <row r="175" ht="15.75" customHeight="1">
      <c r="A175" s="181"/>
      <c r="B175" s="181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</row>
    <row r="176" ht="15.75" customHeight="1">
      <c r="A176" s="181"/>
      <c r="B176" s="181"/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</row>
    <row r="177" ht="15.75" customHeight="1">
      <c r="A177" s="181"/>
      <c r="B177" s="181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</row>
    <row r="178" ht="15.75" customHeight="1">
      <c r="A178" s="181"/>
      <c r="B178" s="181"/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</row>
    <row r="179" ht="15.75" customHeight="1">
      <c r="A179" s="181"/>
      <c r="B179" s="181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</row>
    <row r="180" ht="15.75" customHeight="1">
      <c r="A180" s="181"/>
      <c r="B180" s="181"/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</row>
    <row r="181" ht="15.75" customHeight="1">
      <c r="A181" s="181"/>
      <c r="B181" s="181"/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</row>
    <row r="182" ht="15.75" customHeight="1">
      <c r="A182" s="181"/>
      <c r="B182" s="181"/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1"/>
    </row>
    <row r="183" ht="15.75" customHeight="1">
      <c r="A183" s="181"/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1"/>
    </row>
    <row r="184" ht="15.75" customHeight="1">
      <c r="A184" s="181"/>
      <c r="B184" s="181"/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  <c r="AB184" s="181"/>
    </row>
    <row r="185" ht="15.75" customHeight="1">
      <c r="A185" s="181"/>
      <c r="B185" s="181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  <c r="AB185" s="181"/>
    </row>
    <row r="186" ht="15.75" customHeight="1">
      <c r="A186" s="181"/>
      <c r="B186" s="181"/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  <c r="AB186" s="181"/>
    </row>
    <row r="187" ht="15.75" customHeight="1">
      <c r="A187" s="181"/>
      <c r="B187" s="181"/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  <c r="AB187" s="181"/>
    </row>
    <row r="188" ht="15.75" customHeight="1">
      <c r="A188" s="181"/>
      <c r="B188" s="181"/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1"/>
    </row>
    <row r="189" ht="15.75" customHeight="1">
      <c r="A189" s="181"/>
      <c r="B189" s="181"/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</row>
    <row r="190" ht="15.75" customHeight="1">
      <c r="A190" s="181"/>
      <c r="B190" s="181"/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</row>
    <row r="191" ht="15.75" customHeight="1">
      <c r="A191" s="181"/>
      <c r="B191" s="181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</row>
    <row r="192" ht="15.75" customHeight="1">
      <c r="A192" s="181"/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 ht="15.75" customHeight="1">
      <c r="A193" s="181"/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 ht="15.75" customHeight="1">
      <c r="A194" s="181"/>
      <c r="B194" s="181"/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  <row r="195" ht="15.75" customHeight="1">
      <c r="A195" s="181"/>
      <c r="B195" s="181"/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</row>
    <row r="196" ht="15.75" customHeight="1">
      <c r="A196" s="181"/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</row>
    <row r="197" ht="15.75" customHeight="1">
      <c r="A197" s="181"/>
      <c r="B197" s="181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</row>
    <row r="198" ht="15.75" customHeight="1">
      <c r="A198" s="181"/>
      <c r="B198" s="181"/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</row>
    <row r="199" ht="15.75" customHeight="1">
      <c r="A199" s="181"/>
      <c r="B199" s="181"/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</row>
    <row r="200" ht="15.75" customHeight="1">
      <c r="A200" s="181"/>
      <c r="B200" s="181"/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</row>
    <row r="201" ht="15.75" customHeight="1">
      <c r="A201" s="181"/>
      <c r="B201" s="181"/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</row>
    <row r="202" ht="15.75" customHeight="1">
      <c r="A202" s="181"/>
      <c r="B202" s="181"/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</row>
    <row r="203" ht="15.75" customHeight="1">
      <c r="A203" s="181"/>
      <c r="B203" s="181"/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</row>
    <row r="204" ht="15.75" customHeight="1">
      <c r="A204" s="181"/>
      <c r="B204" s="181"/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</row>
    <row r="205" ht="15.75" customHeight="1">
      <c r="A205" s="181"/>
      <c r="B205" s="181"/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  <c r="AB205" s="181"/>
    </row>
    <row r="206" ht="15.75" customHeight="1">
      <c r="A206" s="181"/>
      <c r="B206" s="181"/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  <c r="AB206" s="181"/>
    </row>
    <row r="207" ht="15.75" customHeight="1">
      <c r="A207" s="181"/>
      <c r="B207" s="181"/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  <c r="AB207" s="181"/>
    </row>
    <row r="208" ht="15.75" customHeight="1">
      <c r="A208" s="181"/>
      <c r="B208" s="181"/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  <c r="AB208" s="181"/>
    </row>
    <row r="209" ht="15.75" customHeight="1">
      <c r="A209" s="181"/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  <c r="AB209" s="181"/>
    </row>
    <row r="210" ht="15.75" customHeight="1">
      <c r="A210" s="181"/>
      <c r="B210" s="181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  <c r="AB210" s="181"/>
    </row>
    <row r="211" ht="15.75" customHeight="1">
      <c r="A211" s="181"/>
      <c r="B211" s="181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  <c r="AA211" s="181"/>
      <c r="AB211" s="181"/>
    </row>
    <row r="212" ht="15.75" customHeight="1">
      <c r="A212" s="181"/>
      <c r="B212" s="181"/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</row>
    <row r="213" ht="15.75" customHeight="1">
      <c r="A213" s="181"/>
      <c r="B213" s="181"/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</row>
    <row r="214" ht="15.75" customHeight="1">
      <c r="A214" s="181"/>
      <c r="B214" s="181"/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</row>
    <row r="215" ht="15.75" customHeight="1">
      <c r="A215" s="181"/>
      <c r="B215" s="181"/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</row>
    <row r="216" ht="15.75" customHeight="1">
      <c r="A216" s="181"/>
      <c r="B216" s="181"/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</row>
    <row r="217" ht="15.75" customHeight="1">
      <c r="A217" s="181"/>
      <c r="B217" s="181"/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</row>
    <row r="218" ht="15.75" customHeight="1">
      <c r="A218" s="181"/>
      <c r="B218" s="181"/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</row>
    <row r="219" ht="15.75" customHeight="1">
      <c r="A219" s="181"/>
      <c r="B219" s="181"/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</row>
    <row r="220" ht="15.75" customHeight="1">
      <c r="A220" s="181"/>
      <c r="B220" s="181"/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</row>
    <row r="221" ht="15.75" customHeight="1">
      <c r="A221" s="181"/>
      <c r="B221" s="181"/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</row>
    <row r="222" ht="15.75" customHeight="1">
      <c r="A222" s="181"/>
      <c r="B222" s="181"/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</row>
    <row r="223" ht="15.75" customHeight="1">
      <c r="A223" s="181"/>
      <c r="B223" s="181"/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</row>
    <row r="224" ht="15.75" customHeight="1">
      <c r="A224" s="181"/>
      <c r="B224" s="181"/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</row>
    <row r="225" ht="15.75" customHeight="1">
      <c r="A225" s="181"/>
      <c r="B225" s="181"/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</row>
    <row r="226" ht="15.75" customHeight="1">
      <c r="A226" s="181"/>
      <c r="B226" s="181"/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</row>
    <row r="227" ht="15.75" customHeight="1">
      <c r="A227" s="181"/>
      <c r="B227" s="181"/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</row>
    <row r="228" ht="15.75" customHeight="1">
      <c r="A228" s="181"/>
      <c r="B228" s="181"/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  <c r="AA228" s="181"/>
      <c r="AB228" s="181"/>
    </row>
    <row r="229" ht="15.75" customHeight="1">
      <c r="A229" s="181"/>
      <c r="B229" s="181"/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  <c r="AA229" s="181"/>
      <c r="AB229" s="181"/>
    </row>
    <row r="230" ht="15.75" customHeight="1">
      <c r="A230" s="181"/>
      <c r="B230" s="181"/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  <c r="AA230" s="181"/>
      <c r="AB230" s="181"/>
    </row>
    <row r="231" ht="15.75" customHeight="1">
      <c r="A231" s="181"/>
      <c r="B231" s="181"/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  <c r="AA231" s="181"/>
      <c r="AB231" s="181"/>
    </row>
    <row r="232" ht="15.75" customHeight="1">
      <c r="A232" s="181"/>
      <c r="B232" s="181"/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  <c r="AA232" s="181"/>
      <c r="AB232" s="181"/>
    </row>
    <row r="233" ht="15.75" customHeight="1">
      <c r="A233" s="181"/>
      <c r="B233" s="181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  <c r="AA233" s="181"/>
      <c r="AB233" s="181"/>
    </row>
    <row r="234" ht="15.75" customHeight="1">
      <c r="A234" s="181"/>
      <c r="B234" s="181"/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  <c r="AB234" s="181"/>
    </row>
    <row r="235" ht="15.75" customHeight="1">
      <c r="A235" s="181"/>
      <c r="B235" s="181"/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</row>
    <row r="236" ht="15.75" customHeight="1">
      <c r="A236" s="181"/>
      <c r="B236" s="181"/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</row>
    <row r="237" ht="15.75" customHeight="1">
      <c r="A237" s="181"/>
      <c r="B237" s="181"/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</row>
    <row r="238" ht="15.75" customHeight="1">
      <c r="A238" s="181"/>
      <c r="B238" s="181"/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</row>
    <row r="239" ht="15.75" customHeight="1">
      <c r="A239" s="181"/>
      <c r="B239" s="181"/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</row>
    <row r="240" ht="15.75" customHeight="1">
      <c r="A240" s="181"/>
      <c r="B240" s="181"/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</row>
    <row r="241" ht="15.75" customHeight="1">
      <c r="A241" s="181"/>
      <c r="B241" s="181"/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</row>
    <row r="242" ht="15.75" customHeight="1">
      <c r="A242" s="181"/>
      <c r="B242" s="181"/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</row>
    <row r="243" ht="15.75" customHeight="1">
      <c r="A243" s="181"/>
      <c r="B243" s="181"/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</row>
    <row r="244" ht="15.75" customHeight="1">
      <c r="A244" s="181"/>
      <c r="B244" s="181"/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</row>
    <row r="245" ht="15.75" customHeight="1">
      <c r="A245" s="181"/>
      <c r="B245" s="181"/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</row>
    <row r="246" ht="15.75" customHeight="1">
      <c r="A246" s="181"/>
      <c r="B246" s="181"/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</row>
    <row r="247" ht="15.75" customHeight="1">
      <c r="A247" s="181"/>
      <c r="B247" s="181"/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</row>
    <row r="248" ht="15.75" customHeight="1">
      <c r="A248" s="181"/>
      <c r="B248" s="181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</row>
    <row r="249" ht="15.75" customHeight="1">
      <c r="A249" s="181"/>
      <c r="B249" s="181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</row>
    <row r="250" ht="15.75" customHeight="1">
      <c r="A250" s="181"/>
      <c r="B250" s="181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</row>
    <row r="251" ht="15.75" customHeight="1">
      <c r="A251" s="181"/>
      <c r="B251" s="181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1"/>
    </row>
    <row r="252" ht="15.75" customHeight="1">
      <c r="A252" s="181"/>
      <c r="B252" s="181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  <c r="AB252" s="181"/>
    </row>
    <row r="253" ht="15.75" customHeight="1">
      <c r="A253" s="181"/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1"/>
    </row>
    <row r="254" ht="15.75" customHeight="1">
      <c r="A254" s="181"/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1"/>
    </row>
    <row r="255" ht="15.75" customHeight="1">
      <c r="A255" s="181"/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1"/>
    </row>
    <row r="256" ht="15.75" customHeight="1">
      <c r="A256" s="181"/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1"/>
    </row>
    <row r="257" ht="15.75" customHeight="1">
      <c r="A257" s="181"/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1"/>
    </row>
    <row r="258" ht="15.75" customHeight="1">
      <c r="A258" s="181"/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</row>
    <row r="259" ht="15.75" customHeight="1">
      <c r="A259" s="181"/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</row>
    <row r="260" ht="15.75" customHeight="1">
      <c r="A260" s="181"/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</row>
    <row r="261" ht="15.75" customHeight="1">
      <c r="A261" s="181"/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</row>
    <row r="262" ht="15.75" customHeight="1">
      <c r="A262" s="181"/>
      <c r="B262" s="181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</row>
    <row r="263" ht="15.75" customHeight="1">
      <c r="A263" s="181"/>
      <c r="B263" s="181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</row>
    <row r="264" ht="15.75" customHeight="1">
      <c r="A264" s="181"/>
      <c r="B264" s="181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</row>
    <row r="265" ht="15.75" customHeight="1">
      <c r="A265" s="181"/>
      <c r="B265" s="181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</row>
    <row r="266" ht="15.75" customHeight="1">
      <c r="A266" s="181"/>
      <c r="B266" s="181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</row>
    <row r="267" ht="15.75" customHeight="1">
      <c r="A267" s="181"/>
      <c r="B267" s="181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</row>
    <row r="268" ht="15.75" customHeight="1">
      <c r="A268" s="181"/>
      <c r="B268" s="181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</row>
    <row r="269" ht="15.75" customHeight="1">
      <c r="A269" s="181"/>
      <c r="B269" s="181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</row>
    <row r="270" ht="15.75" customHeight="1">
      <c r="A270" s="181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</row>
    <row r="271" ht="15.75" customHeight="1">
      <c r="A271" s="181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</row>
    <row r="272" ht="15.75" customHeight="1">
      <c r="A272" s="181"/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</row>
    <row r="273" ht="15.75" customHeight="1">
      <c r="A273" s="181"/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</row>
    <row r="274" ht="15.75" customHeight="1">
      <c r="A274" s="181"/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1"/>
    </row>
    <row r="275" ht="15.75" customHeight="1">
      <c r="A275" s="181"/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1"/>
    </row>
    <row r="276" ht="15.75" customHeight="1">
      <c r="A276" s="181"/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1"/>
    </row>
    <row r="277" ht="15.75" customHeight="1">
      <c r="A277" s="181"/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  <c r="AB277" s="181"/>
    </row>
    <row r="278" ht="15.75" customHeight="1">
      <c r="A278" s="181"/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  <c r="AB278" s="181"/>
    </row>
    <row r="279" ht="15.75" customHeight="1">
      <c r="A279" s="181"/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  <c r="AB279" s="181"/>
    </row>
    <row r="280" ht="15.75" customHeight="1">
      <c r="A280" s="181"/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1"/>
    </row>
    <row r="281" ht="15.75" customHeight="1">
      <c r="A281" s="181"/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</row>
    <row r="282" ht="15.75" customHeight="1">
      <c r="A282" s="181"/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</row>
    <row r="283" ht="15.75" customHeight="1">
      <c r="A283" s="181"/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</row>
    <row r="284" ht="15.75" customHeight="1">
      <c r="A284" s="181"/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</row>
    <row r="285" ht="15.75" customHeight="1">
      <c r="A285" s="181"/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</row>
    <row r="286" ht="15.75" customHeight="1">
      <c r="A286" s="181"/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</row>
    <row r="287" ht="15.75" customHeight="1">
      <c r="A287" s="181"/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</row>
    <row r="288" ht="15.75" customHeight="1">
      <c r="A288" s="181"/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</row>
    <row r="289" ht="15.75" customHeight="1">
      <c r="A289" s="181"/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</row>
    <row r="290" ht="15.75" customHeight="1">
      <c r="A290" s="181"/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</row>
    <row r="291" ht="15.75" customHeight="1">
      <c r="A291" s="181"/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</row>
    <row r="292" ht="15.75" customHeight="1">
      <c r="A292" s="181"/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</row>
    <row r="293" ht="15.75" customHeight="1">
      <c r="A293" s="181"/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</row>
    <row r="294" ht="15.75" customHeight="1">
      <c r="A294" s="181"/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</row>
    <row r="295" ht="15.75" customHeight="1">
      <c r="A295" s="181"/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</row>
    <row r="296" ht="15.75" customHeight="1">
      <c r="A296" s="181"/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</row>
    <row r="297" ht="15.75" customHeight="1">
      <c r="A297" s="181"/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1"/>
    </row>
    <row r="298" ht="15.75" customHeight="1">
      <c r="A298" s="181"/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1"/>
    </row>
    <row r="299" ht="15.75" customHeight="1">
      <c r="A299" s="181"/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1"/>
    </row>
    <row r="300" ht="15.75" customHeight="1">
      <c r="A300" s="181"/>
      <c r="B300" s="181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  <c r="AB300" s="181"/>
    </row>
    <row r="301" ht="15.75" customHeight="1">
      <c r="A301" s="181"/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  <c r="AB301" s="181"/>
    </row>
    <row r="302" ht="15.75" customHeight="1">
      <c r="A302" s="181"/>
      <c r="B302" s="181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  <c r="AB302" s="181"/>
    </row>
    <row r="303" ht="15.75" customHeight="1">
      <c r="A303" s="181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1"/>
    </row>
    <row r="304" ht="15.75" customHeight="1">
      <c r="A304" s="181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</row>
    <row r="305" ht="15.75" customHeight="1">
      <c r="A305" s="181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</row>
    <row r="306" ht="15.75" customHeight="1">
      <c r="A306" s="181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</row>
    <row r="307" ht="15.75" customHeight="1">
      <c r="A307" s="181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</row>
    <row r="308" ht="15.75" customHeight="1">
      <c r="A308" s="181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</row>
    <row r="309" ht="15.75" customHeight="1">
      <c r="A309" s="181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</row>
    <row r="310" ht="15.75" customHeight="1">
      <c r="A310" s="181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</row>
    <row r="311" ht="15.75" customHeight="1">
      <c r="A311" s="181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</row>
    <row r="312" ht="15.75" customHeight="1">
      <c r="A312" s="181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</row>
    <row r="313" ht="15.75" customHeight="1">
      <c r="A313" s="181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</row>
    <row r="314" ht="15.75" customHeight="1">
      <c r="A314" s="181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</row>
    <row r="315" ht="15.75" customHeight="1">
      <c r="A315" s="181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</row>
    <row r="316" ht="15.75" customHeight="1">
      <c r="A316" s="181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</row>
    <row r="317" ht="15.75" customHeight="1">
      <c r="A317" s="181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</row>
    <row r="318" ht="15.75" customHeight="1">
      <c r="A318" s="181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</row>
    <row r="319" ht="15.75" customHeight="1">
      <c r="A319" s="181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</row>
    <row r="320" ht="15.75" customHeight="1">
      <c r="A320" s="181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</row>
    <row r="321" ht="15.75" customHeight="1">
      <c r="A321" s="181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</row>
    <row r="322" ht="15.75" customHeight="1">
      <c r="A322" s="181"/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1"/>
    </row>
    <row r="323" ht="15.75" customHeight="1">
      <c r="A323" s="181"/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1"/>
    </row>
    <row r="324" ht="15.75" customHeight="1">
      <c r="A324" s="181"/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1"/>
    </row>
    <row r="325" ht="15.75" customHeight="1">
      <c r="A325" s="181"/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1"/>
    </row>
    <row r="326" ht="15.75" customHeight="1">
      <c r="A326" s="181"/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1"/>
    </row>
    <row r="327" ht="15.75" customHeight="1">
      <c r="A327" s="181"/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</row>
    <row r="328" ht="15.75" customHeight="1">
      <c r="A328" s="181"/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</row>
    <row r="329" ht="15.75" customHeight="1">
      <c r="A329" s="181"/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</row>
    <row r="330" ht="15.75" customHeight="1">
      <c r="A330" s="181"/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</row>
    <row r="331" ht="15.75" customHeight="1">
      <c r="A331" s="181"/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</row>
    <row r="332" ht="15.75" customHeight="1">
      <c r="A332" s="181"/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</row>
    <row r="333" ht="15.75" customHeight="1">
      <c r="A333" s="181"/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</row>
    <row r="334" ht="15.75" customHeight="1">
      <c r="A334" s="181"/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</row>
    <row r="335" ht="15.75" customHeight="1">
      <c r="A335" s="181"/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</row>
    <row r="336" ht="15.75" customHeight="1">
      <c r="A336" s="181"/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</row>
    <row r="337" ht="15.75" customHeight="1">
      <c r="A337" s="181"/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</row>
    <row r="338" ht="15.75" customHeight="1">
      <c r="A338" s="181"/>
      <c r="B338" s="181"/>
      <c r="C338" s="181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</row>
    <row r="339" ht="15.75" customHeight="1">
      <c r="A339" s="181"/>
      <c r="B339" s="181"/>
      <c r="C339" s="181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</row>
    <row r="340" ht="15.75" customHeight="1">
      <c r="A340" s="181"/>
      <c r="B340" s="181"/>
      <c r="C340" s="181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</row>
    <row r="341" ht="15.75" customHeight="1">
      <c r="A341" s="181"/>
      <c r="B341" s="181"/>
      <c r="C341" s="181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</row>
    <row r="342" ht="15.75" customHeight="1">
      <c r="A342" s="181"/>
      <c r="B342" s="181"/>
      <c r="C342" s="181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</row>
    <row r="343" ht="15.75" customHeight="1">
      <c r="A343" s="181"/>
      <c r="B343" s="181"/>
      <c r="C343" s="181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  <c r="AB343" s="181"/>
    </row>
    <row r="344" ht="15.75" customHeight="1">
      <c r="A344" s="181"/>
      <c r="B344" s="181"/>
      <c r="C344" s="181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  <c r="AB344" s="181"/>
    </row>
    <row r="345" ht="15.75" customHeight="1">
      <c r="A345" s="181"/>
      <c r="B345" s="181"/>
      <c r="C345" s="181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  <c r="AB345" s="181"/>
    </row>
    <row r="346" ht="15.75" customHeight="1">
      <c r="A346" s="181"/>
      <c r="B346" s="181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1"/>
    </row>
    <row r="347" ht="15.75" customHeight="1">
      <c r="A347" s="181"/>
      <c r="B347" s="181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1"/>
    </row>
    <row r="348" ht="15.75" customHeight="1">
      <c r="A348" s="181"/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1"/>
    </row>
    <row r="349" ht="15.75" customHeight="1">
      <c r="A349" s="181"/>
      <c r="B349" s="181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1"/>
    </row>
    <row r="350" ht="15.75" customHeight="1">
      <c r="A350" s="181"/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</row>
    <row r="351" ht="15.75" customHeight="1">
      <c r="A351" s="181"/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</row>
    <row r="352" ht="15.75" customHeight="1">
      <c r="A352" s="181"/>
      <c r="B352" s="181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</row>
    <row r="353" ht="15.75" customHeight="1">
      <c r="A353" s="181"/>
      <c r="B353" s="181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</row>
    <row r="354" ht="15.75" customHeight="1">
      <c r="A354" s="181"/>
      <c r="B354" s="181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</row>
    <row r="355" ht="15.75" customHeight="1">
      <c r="A355" s="181"/>
      <c r="B355" s="181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</row>
    <row r="356" ht="15.75" customHeight="1">
      <c r="A356" s="181"/>
      <c r="B356" s="181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</row>
    <row r="357" ht="15.75" customHeight="1">
      <c r="A357" s="181"/>
      <c r="B357" s="181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</row>
    <row r="358" ht="15.75" customHeight="1">
      <c r="A358" s="181"/>
      <c r="B358" s="181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</row>
    <row r="359" ht="15.75" customHeight="1">
      <c r="A359" s="181"/>
      <c r="B359" s="181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</row>
    <row r="360" ht="15.75" customHeight="1">
      <c r="A360" s="181"/>
      <c r="B360" s="181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</row>
    <row r="361" ht="15.75" customHeight="1">
      <c r="A361" s="181"/>
      <c r="B361" s="181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</row>
    <row r="362" ht="15.75" customHeight="1">
      <c r="A362" s="181"/>
      <c r="B362" s="181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</row>
    <row r="363" ht="15.75" customHeight="1">
      <c r="A363" s="181"/>
      <c r="B363" s="181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</row>
    <row r="364" ht="15.75" customHeight="1">
      <c r="A364" s="181"/>
      <c r="B364" s="181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</row>
    <row r="365" ht="15.75" customHeight="1">
      <c r="A365" s="181"/>
      <c r="B365" s="181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</row>
    <row r="366" ht="15.75" customHeight="1">
      <c r="A366" s="181"/>
      <c r="B366" s="181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1"/>
    </row>
    <row r="367" ht="15.75" customHeight="1">
      <c r="A367" s="181"/>
      <c r="B367" s="181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1"/>
    </row>
    <row r="368" ht="15.75" customHeight="1">
      <c r="A368" s="181"/>
      <c r="B368" s="181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1"/>
    </row>
    <row r="369" ht="15.75" customHeight="1">
      <c r="A369" s="181"/>
      <c r="B369" s="181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1"/>
    </row>
    <row r="370" ht="15.75" customHeight="1">
      <c r="A370" s="181"/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1"/>
    </row>
    <row r="371" ht="15.75" customHeight="1">
      <c r="A371" s="181"/>
      <c r="B371" s="181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1"/>
    </row>
    <row r="372" ht="15.75" customHeight="1">
      <c r="A372" s="181"/>
      <c r="B372" s="181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1"/>
    </row>
    <row r="373" ht="15.75" customHeight="1">
      <c r="A373" s="181"/>
      <c r="B373" s="181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</row>
    <row r="374" ht="15.75" customHeight="1">
      <c r="A374" s="181"/>
      <c r="B374" s="181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</row>
    <row r="375" ht="15.75" customHeight="1">
      <c r="A375" s="181"/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</row>
    <row r="376" ht="15.75" customHeight="1">
      <c r="A376" s="181"/>
      <c r="B376" s="181"/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</row>
    <row r="377" ht="15.75" customHeight="1">
      <c r="A377" s="181"/>
      <c r="B377" s="181"/>
      <c r="C377" s="181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</row>
    <row r="378" ht="15.75" customHeight="1">
      <c r="A378" s="181"/>
      <c r="B378" s="181"/>
      <c r="C378" s="181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</row>
    <row r="379" ht="15.75" customHeight="1">
      <c r="A379" s="181"/>
      <c r="B379" s="181"/>
      <c r="C379" s="181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</row>
    <row r="380" ht="15.75" customHeight="1">
      <c r="A380" s="181"/>
      <c r="B380" s="181"/>
      <c r="C380" s="181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</row>
    <row r="381" ht="15.75" customHeight="1">
      <c r="A381" s="181"/>
      <c r="B381" s="181"/>
      <c r="C381" s="181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</row>
    <row r="382" ht="15.75" customHeight="1">
      <c r="A382" s="181"/>
      <c r="B382" s="181"/>
      <c r="C382" s="181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</row>
    <row r="383" ht="15.75" customHeight="1">
      <c r="A383" s="181"/>
      <c r="B383" s="181"/>
      <c r="C383" s="181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</row>
    <row r="384" ht="15.75" customHeight="1">
      <c r="A384" s="181"/>
      <c r="B384" s="181"/>
      <c r="C384" s="181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</row>
    <row r="385" ht="15.75" customHeight="1">
      <c r="A385" s="181"/>
      <c r="B385" s="181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</row>
    <row r="386" ht="15.75" customHeight="1">
      <c r="A386" s="181"/>
      <c r="B386" s="181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</row>
    <row r="387" ht="15.75" customHeight="1">
      <c r="A387" s="181"/>
      <c r="B387" s="181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</row>
    <row r="388" ht="15.75" customHeight="1">
      <c r="A388" s="181"/>
      <c r="B388" s="181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</row>
    <row r="389" ht="15.75" customHeight="1">
      <c r="A389" s="181"/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1"/>
    </row>
    <row r="390" ht="15.75" customHeight="1">
      <c r="A390" s="181"/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1"/>
    </row>
    <row r="391" ht="15.75" customHeight="1">
      <c r="A391" s="181"/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1"/>
    </row>
    <row r="392" ht="15.75" customHeight="1">
      <c r="A392" s="181"/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1"/>
    </row>
    <row r="393" ht="15.75" customHeight="1">
      <c r="A393" s="181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1"/>
    </row>
    <row r="394" ht="15.75" customHeight="1">
      <c r="A394" s="181"/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1"/>
    </row>
    <row r="395" ht="15.75" customHeight="1">
      <c r="A395" s="181"/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1"/>
    </row>
    <row r="396" ht="15.75" customHeight="1">
      <c r="A396" s="181"/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</row>
    <row r="397" ht="15.75" customHeight="1">
      <c r="A397" s="181"/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</row>
    <row r="398" ht="15.75" customHeight="1">
      <c r="A398" s="181"/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</row>
    <row r="399" ht="15.75" customHeight="1">
      <c r="A399" s="181"/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</row>
    <row r="400" ht="15.75" customHeight="1">
      <c r="A400" s="181"/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</row>
    <row r="401" ht="15.75" customHeight="1">
      <c r="A401" s="181"/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</row>
    <row r="402" ht="15.75" customHeight="1">
      <c r="A402" s="181"/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</row>
    <row r="403" ht="15.75" customHeight="1">
      <c r="A403" s="181"/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</row>
    <row r="404" ht="15.75" customHeight="1">
      <c r="A404" s="181"/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</row>
    <row r="405" ht="15.75" customHeight="1">
      <c r="A405" s="181"/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</row>
    <row r="406" ht="15.75" customHeight="1">
      <c r="A406" s="181"/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</row>
    <row r="407" ht="15.75" customHeight="1">
      <c r="A407" s="181"/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</row>
    <row r="408" ht="15.75" customHeight="1">
      <c r="A408" s="181"/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</row>
    <row r="409" ht="15.75" customHeight="1">
      <c r="A409" s="181"/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</row>
    <row r="410" ht="15.75" customHeight="1">
      <c r="A410" s="181"/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</row>
    <row r="411" ht="15.75" customHeight="1">
      <c r="A411" s="181"/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</row>
    <row r="412" ht="15.75" customHeight="1">
      <c r="A412" s="181"/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1"/>
    </row>
    <row r="413" ht="15.75" customHeight="1">
      <c r="A413" s="181"/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1"/>
    </row>
    <row r="414" ht="15.75" customHeight="1">
      <c r="A414" s="181"/>
      <c r="B414" s="181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1"/>
    </row>
    <row r="415" ht="15.75" customHeight="1">
      <c r="A415" s="181"/>
      <c r="B415" s="181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1"/>
    </row>
    <row r="416" ht="15.75" customHeight="1">
      <c r="A416" s="181"/>
      <c r="B416" s="181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1"/>
    </row>
    <row r="417" ht="15.75" customHeight="1">
      <c r="A417" s="181"/>
      <c r="B417" s="181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1"/>
    </row>
    <row r="418" ht="15.75" customHeight="1">
      <c r="A418" s="181"/>
      <c r="B418" s="181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1"/>
    </row>
    <row r="419" ht="15.75" customHeight="1">
      <c r="A419" s="181"/>
      <c r="B419" s="181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1"/>
    </row>
    <row r="420" ht="15.75" customHeight="1">
      <c r="A420" s="181"/>
      <c r="B420" s="181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1"/>
    </row>
    <row r="421" ht="15.75" customHeight="1">
      <c r="A421" s="181"/>
      <c r="B421" s="181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1"/>
    </row>
    <row r="422" ht="15.75" customHeight="1">
      <c r="A422" s="181"/>
      <c r="B422" s="181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</row>
    <row r="423" ht="15.75" customHeight="1">
      <c r="A423" s="181"/>
      <c r="B423" s="181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1"/>
    </row>
    <row r="424" ht="15.75" customHeight="1">
      <c r="A424" s="181"/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</row>
    <row r="425" ht="15.75" customHeight="1">
      <c r="A425" s="181"/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</row>
    <row r="426" ht="15.75" customHeight="1">
      <c r="A426" s="181"/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</row>
    <row r="427" ht="15.75" customHeight="1">
      <c r="A427" s="181"/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</row>
    <row r="428" ht="15.75" customHeight="1">
      <c r="A428" s="181"/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</row>
    <row r="429" ht="15.75" customHeight="1">
      <c r="A429" s="181"/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</row>
    <row r="430" ht="15.75" customHeight="1">
      <c r="A430" s="181"/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1"/>
    </row>
    <row r="431" ht="15.75" customHeight="1">
      <c r="A431" s="181"/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1"/>
    </row>
    <row r="432" ht="15.75" customHeight="1">
      <c r="A432" s="181"/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1"/>
    </row>
    <row r="433" ht="15.75" customHeight="1">
      <c r="A433" s="181"/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1"/>
    </row>
    <row r="434" ht="15.75" customHeight="1">
      <c r="A434" s="181"/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1"/>
    </row>
    <row r="435" ht="15.75" customHeight="1">
      <c r="A435" s="181"/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1"/>
    </row>
    <row r="436" ht="15.75" customHeight="1">
      <c r="A436" s="181"/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1"/>
    </row>
    <row r="437" ht="15.75" customHeight="1">
      <c r="A437" s="181"/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1"/>
    </row>
    <row r="438" ht="15.75" customHeight="1">
      <c r="A438" s="181"/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1"/>
    </row>
    <row r="439" ht="15.75" customHeight="1">
      <c r="A439" s="181"/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1"/>
    </row>
    <row r="440" ht="15.75" customHeight="1">
      <c r="A440" s="181"/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1"/>
    </row>
    <row r="441" ht="15.75" customHeight="1">
      <c r="A441" s="181"/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1"/>
    </row>
    <row r="442" ht="15.75" customHeight="1">
      <c r="A442" s="181"/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1"/>
    </row>
    <row r="443" ht="15.75" customHeight="1">
      <c r="A443" s="181"/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1"/>
    </row>
    <row r="444" ht="15.75" customHeight="1">
      <c r="A444" s="181"/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1"/>
    </row>
    <row r="445" ht="15.75" customHeight="1">
      <c r="A445" s="181"/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1"/>
    </row>
    <row r="446" ht="15.75" customHeight="1">
      <c r="A446" s="181"/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1"/>
    </row>
    <row r="447" ht="15.75" customHeight="1">
      <c r="A447" s="181"/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1"/>
    </row>
    <row r="448" ht="15.75" customHeight="1">
      <c r="A448" s="181"/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1"/>
    </row>
    <row r="449" ht="15.75" customHeight="1">
      <c r="A449" s="181"/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1"/>
    </row>
    <row r="450" ht="15.75" customHeight="1">
      <c r="A450" s="181"/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1"/>
    </row>
    <row r="451" ht="15.75" customHeight="1">
      <c r="A451" s="181"/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1"/>
    </row>
    <row r="452" ht="15.75" customHeight="1">
      <c r="A452" s="181"/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1"/>
    </row>
    <row r="453" ht="15.75" customHeight="1">
      <c r="A453" s="181"/>
      <c r="B453" s="181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  <c r="AB453" s="181"/>
    </row>
    <row r="454" ht="15.75" customHeight="1">
      <c r="A454" s="181"/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  <c r="AB454" s="181"/>
    </row>
    <row r="455" ht="15.75" customHeight="1">
      <c r="A455" s="181"/>
      <c r="B455" s="181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  <c r="AB455" s="181"/>
    </row>
    <row r="456" ht="15.75" customHeight="1">
      <c r="A456" s="181"/>
      <c r="B456" s="181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  <c r="AB456" s="181"/>
    </row>
    <row r="457" ht="15.75" customHeight="1">
      <c r="A457" s="181"/>
      <c r="B457" s="181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  <c r="AB457" s="181"/>
    </row>
    <row r="458" ht="15.75" customHeight="1">
      <c r="A458" s="181"/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  <c r="AB458" s="181"/>
    </row>
    <row r="459" ht="15.75" customHeight="1">
      <c r="A459" s="181"/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  <c r="AB459" s="181"/>
    </row>
    <row r="460" ht="15.75" customHeight="1">
      <c r="A460" s="181"/>
      <c r="B460" s="181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  <c r="AB460" s="181"/>
    </row>
    <row r="461" ht="15.75" customHeight="1">
      <c r="A461" s="181"/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  <c r="AB461" s="181"/>
    </row>
    <row r="462" ht="15.75" customHeight="1">
      <c r="A462" s="181"/>
      <c r="B462" s="181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  <c r="AB462" s="181"/>
    </row>
    <row r="463" ht="15.75" customHeight="1">
      <c r="A463" s="181"/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  <c r="AB463" s="181"/>
    </row>
    <row r="464" ht="15.75" customHeight="1">
      <c r="A464" s="181"/>
      <c r="B464" s="181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  <c r="AB464" s="181"/>
    </row>
    <row r="465" ht="15.75" customHeight="1">
      <c r="A465" s="181"/>
      <c r="B465" s="181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  <c r="AB465" s="181"/>
    </row>
    <row r="466" ht="15.75" customHeight="1">
      <c r="A466" s="181"/>
      <c r="B466" s="181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  <c r="AB466" s="181"/>
    </row>
    <row r="467" ht="15.75" customHeight="1">
      <c r="A467" s="181"/>
      <c r="B467" s="181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  <c r="AB467" s="181"/>
    </row>
    <row r="468" ht="15.75" customHeight="1">
      <c r="A468" s="181"/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  <c r="AB468" s="181"/>
    </row>
    <row r="469" ht="15.75" customHeight="1">
      <c r="A469" s="181"/>
      <c r="B469" s="181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  <c r="AB469" s="181"/>
    </row>
    <row r="470" ht="15.75" customHeight="1">
      <c r="A470" s="181"/>
      <c r="B470" s="181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  <c r="AB470" s="181"/>
    </row>
    <row r="471" ht="15.75" customHeight="1">
      <c r="A471" s="181"/>
      <c r="B471" s="181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  <c r="AB471" s="181"/>
    </row>
    <row r="472" ht="15.75" customHeight="1">
      <c r="A472" s="181"/>
      <c r="B472" s="181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  <c r="AB472" s="181"/>
    </row>
    <row r="473" ht="15.75" customHeight="1">
      <c r="A473" s="181"/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  <c r="AB473" s="181"/>
    </row>
    <row r="474" ht="15.75" customHeight="1">
      <c r="A474" s="181"/>
      <c r="B474" s="181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  <c r="AB474" s="181"/>
    </row>
    <row r="475" ht="15.75" customHeight="1">
      <c r="A475" s="181"/>
      <c r="B475" s="181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  <c r="AB475" s="181"/>
    </row>
    <row r="476" ht="15.75" customHeight="1">
      <c r="A476" s="181"/>
      <c r="B476" s="181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  <c r="AB476" s="181"/>
    </row>
    <row r="477" ht="15.75" customHeight="1">
      <c r="A477" s="181"/>
      <c r="B477" s="181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  <c r="AB477" s="181"/>
    </row>
    <row r="478" ht="15.75" customHeight="1">
      <c r="A478" s="181"/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  <c r="AB478" s="181"/>
    </row>
    <row r="479" ht="15.75" customHeight="1">
      <c r="A479" s="181"/>
      <c r="B479" s="181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  <c r="AB479" s="181"/>
    </row>
    <row r="480" ht="15.75" customHeight="1">
      <c r="A480" s="181"/>
      <c r="B480" s="181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  <c r="AB480" s="181"/>
    </row>
    <row r="481" ht="15.75" customHeight="1">
      <c r="A481" s="181"/>
      <c r="B481" s="181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  <c r="AB481" s="181"/>
    </row>
    <row r="482" ht="15.75" customHeight="1">
      <c r="A482" s="181"/>
      <c r="B482" s="181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  <c r="AB482" s="181"/>
    </row>
    <row r="483" ht="15.75" customHeight="1">
      <c r="A483" s="181"/>
      <c r="B483" s="181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  <c r="AB483" s="181"/>
    </row>
    <row r="484" ht="15.75" customHeight="1">
      <c r="A484" s="181"/>
      <c r="B484" s="181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  <c r="AB484" s="181"/>
    </row>
    <row r="485" ht="15.75" customHeight="1">
      <c r="A485" s="181"/>
      <c r="B485" s="181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  <c r="AB485" s="181"/>
    </row>
    <row r="486" ht="15.75" customHeight="1">
      <c r="A486" s="181"/>
      <c r="B486" s="181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  <c r="AB486" s="181"/>
    </row>
    <row r="487" ht="15.75" customHeight="1">
      <c r="A487" s="181"/>
      <c r="B487" s="181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  <c r="AB487" s="181"/>
    </row>
    <row r="488" ht="15.75" customHeight="1">
      <c r="A488" s="181"/>
      <c r="B488" s="181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  <c r="AB488" s="181"/>
    </row>
    <row r="489" ht="15.75" customHeight="1">
      <c r="A489" s="181"/>
      <c r="B489" s="181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  <c r="AB489" s="181"/>
    </row>
    <row r="490" ht="15.75" customHeight="1">
      <c r="A490" s="181"/>
      <c r="B490" s="181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  <c r="AB490" s="181"/>
    </row>
    <row r="491" ht="15.75" customHeight="1">
      <c r="A491" s="181"/>
      <c r="B491" s="181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  <c r="AB491" s="181"/>
    </row>
    <row r="492" ht="15.75" customHeight="1">
      <c r="A492" s="181"/>
      <c r="B492" s="181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1"/>
    </row>
    <row r="493" ht="15.75" customHeight="1">
      <c r="A493" s="181"/>
      <c r="B493" s="181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  <c r="AB493" s="181"/>
    </row>
    <row r="494" ht="15.75" customHeight="1">
      <c r="A494" s="181"/>
      <c r="B494" s="181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  <c r="AB494" s="181"/>
    </row>
    <row r="495" ht="15.75" customHeight="1">
      <c r="A495" s="181"/>
      <c r="B495" s="181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  <c r="AB495" s="181"/>
    </row>
    <row r="496" ht="15.75" customHeight="1">
      <c r="A496" s="181"/>
      <c r="B496" s="181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  <c r="AB496" s="181"/>
    </row>
    <row r="497" ht="15.75" customHeight="1">
      <c r="A497" s="181"/>
      <c r="B497" s="181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  <c r="AB497" s="181"/>
    </row>
    <row r="498" ht="15.75" customHeight="1">
      <c r="A498" s="181"/>
      <c r="B498" s="181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  <c r="AB498" s="181"/>
    </row>
    <row r="499" ht="15.75" customHeight="1">
      <c r="A499" s="181"/>
      <c r="B499" s="181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  <c r="AB499" s="181"/>
    </row>
    <row r="500" ht="15.75" customHeight="1">
      <c r="A500" s="181"/>
      <c r="B500" s="181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  <c r="AB500" s="181"/>
    </row>
    <row r="501" ht="15.75" customHeight="1">
      <c r="A501" s="181"/>
      <c r="B501" s="181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  <c r="AB501" s="181"/>
    </row>
    <row r="502" ht="15.75" customHeight="1">
      <c r="A502" s="181"/>
      <c r="B502" s="181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  <c r="AB502" s="181"/>
    </row>
    <row r="503" ht="15.75" customHeight="1">
      <c r="A503" s="181"/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1"/>
    </row>
    <row r="504" ht="15.75" customHeight="1">
      <c r="A504" s="181"/>
      <c r="B504" s="181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  <c r="AB504" s="181"/>
    </row>
    <row r="505" ht="15.75" customHeight="1">
      <c r="A505" s="181"/>
      <c r="B505" s="181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  <c r="AB505" s="181"/>
    </row>
    <row r="506" ht="15.75" customHeight="1">
      <c r="A506" s="181"/>
      <c r="B506" s="181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  <c r="AB506" s="181"/>
    </row>
    <row r="507" ht="15.75" customHeight="1">
      <c r="A507" s="181"/>
      <c r="B507" s="181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  <c r="AB507" s="181"/>
    </row>
    <row r="508" ht="15.75" customHeight="1">
      <c r="A508" s="181"/>
      <c r="B508" s="181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  <c r="AB508" s="181"/>
    </row>
    <row r="509" ht="15.75" customHeight="1">
      <c r="A509" s="181"/>
      <c r="B509" s="181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  <c r="AB509" s="181"/>
    </row>
    <row r="510" ht="15.75" customHeight="1">
      <c r="A510" s="181"/>
      <c r="B510" s="181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  <c r="AB510" s="181"/>
    </row>
    <row r="511" ht="15.75" customHeight="1">
      <c r="A511" s="181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  <c r="AB511" s="181"/>
    </row>
    <row r="512" ht="15.75" customHeight="1">
      <c r="A512" s="181"/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  <c r="AB512" s="181"/>
    </row>
    <row r="513" ht="15.75" customHeight="1">
      <c r="A513" s="181"/>
      <c r="B513" s="181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  <c r="AB513" s="181"/>
    </row>
    <row r="514" ht="15.75" customHeight="1">
      <c r="A514" s="181"/>
      <c r="B514" s="181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  <c r="AB514" s="181"/>
    </row>
    <row r="515" ht="15.75" customHeight="1">
      <c r="A515" s="181"/>
      <c r="B515" s="181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  <c r="AB515" s="181"/>
    </row>
    <row r="516" ht="15.75" customHeight="1">
      <c r="A516" s="181"/>
      <c r="B516" s="181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  <c r="AB516" s="181"/>
    </row>
    <row r="517" ht="15.75" customHeight="1">
      <c r="A517" s="181"/>
      <c r="B517" s="181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  <c r="AB517" s="181"/>
    </row>
    <row r="518" ht="15.75" customHeight="1">
      <c r="A518" s="181"/>
      <c r="B518" s="181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  <c r="AB518" s="181"/>
    </row>
    <row r="519" ht="15.75" customHeight="1">
      <c r="A519" s="181"/>
      <c r="B519" s="181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  <c r="AB519" s="181"/>
    </row>
    <row r="520" ht="15.75" customHeight="1">
      <c r="A520" s="181"/>
      <c r="B520" s="181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  <c r="AB520" s="181"/>
    </row>
    <row r="521" ht="15.75" customHeight="1">
      <c r="A521" s="181"/>
      <c r="B521" s="181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  <c r="AB521" s="181"/>
    </row>
    <row r="522" ht="15.75" customHeight="1">
      <c r="A522" s="181"/>
      <c r="B522" s="181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  <c r="AB522" s="181"/>
    </row>
    <row r="523" ht="15.75" customHeight="1">
      <c r="A523" s="181"/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  <c r="AB523" s="181"/>
    </row>
    <row r="524" ht="15.75" customHeight="1">
      <c r="A524" s="181"/>
      <c r="B524" s="181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  <c r="AB524" s="181"/>
    </row>
    <row r="525" ht="15.75" customHeight="1">
      <c r="A525" s="181"/>
      <c r="B525" s="181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  <c r="AB525" s="181"/>
    </row>
    <row r="526" ht="15.75" customHeight="1">
      <c r="A526" s="181"/>
      <c r="B526" s="181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  <c r="AB526" s="181"/>
    </row>
    <row r="527" ht="15.75" customHeight="1">
      <c r="A527" s="181"/>
      <c r="B527" s="181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  <c r="AB527" s="181"/>
    </row>
    <row r="528" ht="15.75" customHeight="1">
      <c r="A528" s="181"/>
      <c r="B528" s="181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  <c r="AB528" s="181"/>
    </row>
    <row r="529" ht="15.75" customHeight="1">
      <c r="A529" s="181"/>
      <c r="B529" s="181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  <c r="AB529" s="181"/>
    </row>
    <row r="530" ht="15.75" customHeight="1">
      <c r="A530" s="181"/>
      <c r="B530" s="181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  <c r="AB530" s="181"/>
    </row>
    <row r="531" ht="15.75" customHeight="1">
      <c r="A531" s="181"/>
      <c r="B531" s="181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  <c r="AB531" s="181"/>
    </row>
    <row r="532" ht="15.75" customHeight="1">
      <c r="A532" s="181"/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  <c r="AB532" s="181"/>
    </row>
    <row r="533" ht="15.75" customHeight="1">
      <c r="A533" s="181"/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  <c r="AB533" s="181"/>
    </row>
    <row r="534" ht="15.75" customHeight="1">
      <c r="A534" s="181"/>
      <c r="B534" s="181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  <c r="AB534" s="181"/>
    </row>
    <row r="535" ht="15.75" customHeight="1">
      <c r="A535" s="181"/>
      <c r="B535" s="181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  <c r="AB535" s="181"/>
    </row>
    <row r="536" ht="15.75" customHeight="1">
      <c r="A536" s="181"/>
      <c r="B536" s="181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  <c r="AB536" s="181"/>
    </row>
    <row r="537" ht="15.75" customHeight="1">
      <c r="A537" s="181"/>
      <c r="B537" s="181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  <c r="AB537" s="181"/>
    </row>
    <row r="538" ht="15.75" customHeight="1">
      <c r="A538" s="181"/>
      <c r="B538" s="181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  <c r="AB538" s="181"/>
    </row>
    <row r="539" ht="15.75" customHeight="1">
      <c r="A539" s="181"/>
      <c r="B539" s="181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  <c r="AB539" s="181"/>
    </row>
    <row r="540" ht="15.75" customHeight="1">
      <c r="A540" s="181"/>
      <c r="B540" s="181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  <c r="AB540" s="181"/>
    </row>
    <row r="541" ht="15.75" customHeight="1">
      <c r="A541" s="181"/>
      <c r="B541" s="181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  <c r="AB541" s="181"/>
    </row>
    <row r="542" ht="15.75" customHeight="1">
      <c r="A542" s="181"/>
      <c r="B542" s="181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  <c r="AB542" s="181"/>
    </row>
    <row r="543" ht="15.75" customHeight="1">
      <c r="A543" s="181"/>
      <c r="B543" s="181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  <c r="AB543" s="181"/>
    </row>
    <row r="544" ht="15.75" customHeight="1">
      <c r="A544" s="181"/>
      <c r="B544" s="181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  <c r="AB544" s="181"/>
    </row>
    <row r="545" ht="15.75" customHeight="1">
      <c r="A545" s="181"/>
      <c r="B545" s="181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  <c r="AB545" s="181"/>
    </row>
    <row r="546" ht="15.75" customHeight="1">
      <c r="A546" s="181"/>
      <c r="B546" s="181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  <c r="AB546" s="181"/>
    </row>
    <row r="547" ht="15.75" customHeight="1">
      <c r="A547" s="181"/>
      <c r="B547" s="181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  <c r="AB547" s="181"/>
    </row>
    <row r="548" ht="15.75" customHeight="1">
      <c r="A548" s="181"/>
      <c r="B548" s="181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  <c r="AB548" s="181"/>
    </row>
    <row r="549" ht="15.75" customHeight="1">
      <c r="A549" s="181"/>
      <c r="B549" s="181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  <c r="AB549" s="181"/>
    </row>
    <row r="550" ht="15.75" customHeight="1">
      <c r="A550" s="181"/>
      <c r="B550" s="181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  <c r="AB550" s="181"/>
    </row>
    <row r="551" ht="15.75" customHeight="1">
      <c r="A551" s="181"/>
      <c r="B551" s="181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  <c r="AB551" s="181"/>
    </row>
    <row r="552" ht="15.75" customHeight="1">
      <c r="A552" s="181"/>
      <c r="B552" s="181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  <c r="AB552" s="181"/>
    </row>
    <row r="553" ht="15.75" customHeight="1">
      <c r="A553" s="181"/>
      <c r="B553" s="181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  <c r="AB553" s="181"/>
    </row>
    <row r="554" ht="15.75" customHeight="1">
      <c r="A554" s="181"/>
      <c r="B554" s="181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  <c r="AB554" s="181"/>
    </row>
    <row r="555" ht="15.75" customHeight="1">
      <c r="A555" s="181"/>
      <c r="B555" s="181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  <c r="AB555" s="181"/>
    </row>
    <row r="556" ht="15.75" customHeight="1">
      <c r="A556" s="181"/>
      <c r="B556" s="181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  <c r="AB556" s="181"/>
    </row>
    <row r="557" ht="15.75" customHeight="1">
      <c r="A557" s="181"/>
      <c r="B557" s="181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  <c r="AB557" s="181"/>
    </row>
    <row r="558" ht="15.75" customHeight="1">
      <c r="A558" s="181"/>
      <c r="B558" s="181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  <c r="AB558" s="181"/>
    </row>
    <row r="559" ht="15.75" customHeight="1">
      <c r="A559" s="181"/>
      <c r="B559" s="181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  <c r="AB559" s="181"/>
    </row>
    <row r="560" ht="15.75" customHeight="1">
      <c r="A560" s="181"/>
      <c r="B560" s="181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  <c r="AB560" s="181"/>
    </row>
    <row r="561" ht="15.75" customHeight="1">
      <c r="A561" s="181"/>
      <c r="B561" s="181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  <c r="AB561" s="181"/>
    </row>
    <row r="562" ht="15.75" customHeight="1">
      <c r="A562" s="181"/>
      <c r="B562" s="181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  <c r="AB562" s="181"/>
    </row>
    <row r="563" ht="15.75" customHeight="1">
      <c r="A563" s="181"/>
      <c r="B563" s="181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  <c r="AB563" s="181"/>
    </row>
    <row r="564" ht="15.75" customHeight="1">
      <c r="A564" s="181"/>
      <c r="B564" s="181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  <c r="AB564" s="181"/>
    </row>
    <row r="565" ht="15.75" customHeight="1">
      <c r="A565" s="181"/>
      <c r="B565" s="181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  <c r="AB565" s="181"/>
    </row>
    <row r="566" ht="15.75" customHeight="1">
      <c r="A566" s="181"/>
      <c r="B566" s="181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  <c r="AB566" s="181"/>
    </row>
    <row r="567" ht="15.75" customHeight="1">
      <c r="A567" s="181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  <c r="AB567" s="181"/>
    </row>
    <row r="568" ht="15.75" customHeight="1">
      <c r="A568" s="181"/>
      <c r="B568" s="181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  <c r="AB568" s="181"/>
    </row>
    <row r="569" ht="15.75" customHeight="1">
      <c r="A569" s="181"/>
      <c r="B569" s="181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  <c r="AB569" s="181"/>
    </row>
    <row r="570" ht="15.75" customHeight="1">
      <c r="A570" s="181"/>
      <c r="B570" s="181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  <c r="AB570" s="181"/>
    </row>
    <row r="571" ht="15.75" customHeight="1">
      <c r="A571" s="181"/>
      <c r="B571" s="181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  <c r="AB571" s="181"/>
    </row>
    <row r="572" ht="15.75" customHeight="1">
      <c r="A572" s="181"/>
      <c r="B572" s="181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  <c r="AB572" s="181"/>
    </row>
    <row r="573" ht="15.75" customHeight="1">
      <c r="A573" s="181"/>
      <c r="B573" s="181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  <c r="AB573" s="181"/>
    </row>
    <row r="574" ht="15.75" customHeight="1">
      <c r="A574" s="181"/>
      <c r="B574" s="181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  <c r="AB574" s="181"/>
    </row>
    <row r="575" ht="15.75" customHeight="1">
      <c r="A575" s="181"/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  <c r="AB575" s="181"/>
    </row>
    <row r="576" ht="15.75" customHeight="1">
      <c r="A576" s="181"/>
      <c r="B576" s="181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  <c r="AB576" s="181"/>
    </row>
    <row r="577" ht="15.75" customHeight="1">
      <c r="A577" s="181"/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  <c r="AB577" s="181"/>
    </row>
    <row r="578" ht="15.75" customHeight="1">
      <c r="A578" s="181"/>
      <c r="B578" s="181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  <c r="AB578" s="181"/>
    </row>
    <row r="579" ht="15.75" customHeight="1">
      <c r="A579" s="181"/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  <c r="AB579" s="181"/>
    </row>
    <row r="580" ht="15.75" customHeight="1">
      <c r="A580" s="181"/>
      <c r="B580" s="181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  <c r="AB580" s="181"/>
    </row>
    <row r="581" ht="15.75" customHeight="1">
      <c r="A581" s="181"/>
      <c r="B581" s="181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  <c r="AB581" s="181"/>
    </row>
    <row r="582" ht="15.75" customHeight="1">
      <c r="A582" s="181"/>
      <c r="B582" s="181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  <c r="AB582" s="181"/>
    </row>
    <row r="583" ht="15.75" customHeight="1">
      <c r="A583" s="181"/>
      <c r="B583" s="181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  <c r="AB583" s="181"/>
    </row>
    <row r="584" ht="15.75" customHeight="1">
      <c r="A584" s="181"/>
      <c r="B584" s="181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  <c r="AB584" s="181"/>
    </row>
    <row r="585" ht="15.75" customHeight="1">
      <c r="A585" s="181"/>
      <c r="B585" s="181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  <c r="AB585" s="181"/>
    </row>
    <row r="586" ht="15.75" customHeight="1">
      <c r="A586" s="181"/>
      <c r="B586" s="181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  <c r="AA586" s="181"/>
      <c r="AB586" s="181"/>
    </row>
    <row r="587" ht="15.75" customHeight="1">
      <c r="A587" s="181"/>
      <c r="B587" s="181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  <c r="AA587" s="181"/>
      <c r="AB587" s="181"/>
    </row>
    <row r="588" ht="15.75" customHeight="1">
      <c r="A588" s="181"/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  <c r="AB588" s="181"/>
    </row>
    <row r="589" ht="15.75" customHeight="1">
      <c r="A589" s="181"/>
      <c r="B589" s="181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  <c r="AA589" s="181"/>
      <c r="AB589" s="181"/>
    </row>
    <row r="590" ht="15.75" customHeight="1">
      <c r="A590" s="181"/>
      <c r="B590" s="181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  <c r="AA590" s="181"/>
      <c r="AB590" s="181"/>
    </row>
    <row r="591" ht="15.75" customHeight="1">
      <c r="A591" s="181"/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  <c r="AB591" s="181"/>
    </row>
    <row r="592" ht="15.75" customHeight="1">
      <c r="A592" s="181"/>
      <c r="B592" s="181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  <c r="AA592" s="181"/>
      <c r="AB592" s="181"/>
    </row>
    <row r="593" ht="15.75" customHeight="1">
      <c r="A593" s="181"/>
      <c r="B593" s="181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  <c r="AA593" s="181"/>
      <c r="AB593" s="181"/>
    </row>
    <row r="594" ht="15.75" customHeight="1">
      <c r="A594" s="181"/>
      <c r="B594" s="181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  <c r="AA594" s="181"/>
      <c r="AB594" s="181"/>
    </row>
    <row r="595" ht="15.75" customHeight="1">
      <c r="A595" s="181"/>
      <c r="B595" s="181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  <c r="AA595" s="181"/>
      <c r="AB595" s="181"/>
    </row>
    <row r="596" ht="15.75" customHeight="1">
      <c r="A596" s="181"/>
      <c r="B596" s="181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  <c r="AA596" s="181"/>
      <c r="AB596" s="181"/>
    </row>
    <row r="597" ht="15.75" customHeight="1">
      <c r="A597" s="181"/>
      <c r="B597" s="181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  <c r="AB597" s="181"/>
    </row>
    <row r="598" ht="15.75" customHeight="1">
      <c r="A598" s="181"/>
      <c r="B598" s="181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  <c r="AB598" s="181"/>
    </row>
    <row r="599" ht="15.75" customHeight="1">
      <c r="A599" s="181"/>
      <c r="B599" s="181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  <c r="AB599" s="181"/>
    </row>
    <row r="600" ht="15.75" customHeight="1">
      <c r="A600" s="181"/>
      <c r="B600" s="181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  <c r="AB600" s="181"/>
    </row>
    <row r="601" ht="15.75" customHeight="1">
      <c r="A601" s="181"/>
      <c r="B601" s="181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  <c r="AB601" s="181"/>
    </row>
    <row r="602" ht="15.75" customHeight="1">
      <c r="A602" s="181"/>
      <c r="B602" s="181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  <c r="AA602" s="181"/>
      <c r="AB602" s="181"/>
    </row>
    <row r="603" ht="15.75" customHeight="1">
      <c r="A603" s="181"/>
      <c r="B603" s="181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  <c r="AA603" s="181"/>
      <c r="AB603" s="181"/>
    </row>
    <row r="604" ht="15.75" customHeight="1">
      <c r="A604" s="181"/>
      <c r="B604" s="181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  <c r="AA604" s="181"/>
      <c r="AB604" s="181"/>
    </row>
    <row r="605" ht="15.75" customHeight="1">
      <c r="A605" s="181"/>
      <c r="B605" s="181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  <c r="AB605" s="181"/>
    </row>
    <row r="606" ht="15.75" customHeight="1">
      <c r="A606" s="181"/>
      <c r="B606" s="181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  <c r="AA606" s="181"/>
      <c r="AB606" s="181"/>
    </row>
    <row r="607" ht="15.75" customHeight="1">
      <c r="A607" s="181"/>
      <c r="B607" s="181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  <c r="AA607" s="181"/>
      <c r="AB607" s="181"/>
    </row>
    <row r="608" ht="15.75" customHeight="1">
      <c r="A608" s="181"/>
      <c r="B608" s="181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  <c r="AA608" s="181"/>
      <c r="AB608" s="181"/>
    </row>
    <row r="609" ht="15.75" customHeight="1">
      <c r="A609" s="181"/>
      <c r="B609" s="181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  <c r="AA609" s="181"/>
      <c r="AB609" s="181"/>
    </row>
    <row r="610" ht="15.75" customHeight="1">
      <c r="A610" s="181"/>
      <c r="B610" s="181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  <c r="AA610" s="181"/>
      <c r="AB610" s="181"/>
    </row>
    <row r="611" ht="15.75" customHeight="1">
      <c r="A611" s="181"/>
      <c r="B611" s="181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  <c r="AA611" s="181"/>
      <c r="AB611" s="181"/>
    </row>
    <row r="612" ht="15.75" customHeight="1">
      <c r="A612" s="181"/>
      <c r="B612" s="181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  <c r="AA612" s="181"/>
      <c r="AB612" s="181"/>
    </row>
    <row r="613" ht="15.75" customHeight="1">
      <c r="A613" s="181"/>
      <c r="B613" s="181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  <c r="AA613" s="181"/>
      <c r="AB613" s="181"/>
    </row>
    <row r="614" ht="15.75" customHeight="1">
      <c r="A614" s="181"/>
      <c r="B614" s="181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  <c r="AA614" s="181"/>
      <c r="AB614" s="181"/>
    </row>
    <row r="615" ht="15.75" customHeight="1">
      <c r="A615" s="181"/>
      <c r="B615" s="181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  <c r="AA615" s="181"/>
      <c r="AB615" s="181"/>
    </row>
    <row r="616" ht="15.75" customHeight="1">
      <c r="A616" s="181"/>
      <c r="B616" s="181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  <c r="AA616" s="181"/>
      <c r="AB616" s="181"/>
    </row>
    <row r="617" ht="15.75" customHeight="1">
      <c r="A617" s="181"/>
      <c r="B617" s="181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  <c r="AA617" s="181"/>
      <c r="AB617" s="181"/>
    </row>
    <row r="618" ht="15.75" customHeight="1">
      <c r="A618" s="181"/>
      <c r="B618" s="181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  <c r="AB618" s="181"/>
    </row>
    <row r="619" ht="15.75" customHeight="1">
      <c r="A619" s="181"/>
      <c r="B619" s="181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  <c r="AB619" s="181"/>
    </row>
    <row r="620" ht="15.75" customHeight="1">
      <c r="A620" s="181"/>
      <c r="B620" s="181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  <c r="AA620" s="181"/>
      <c r="AB620" s="181"/>
    </row>
    <row r="621" ht="15.75" customHeight="1">
      <c r="A621" s="181"/>
      <c r="B621" s="181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  <c r="AA621" s="181"/>
      <c r="AB621" s="181"/>
    </row>
    <row r="622" ht="15.75" customHeight="1">
      <c r="A622" s="181"/>
      <c r="B622" s="181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  <c r="AB622" s="181"/>
    </row>
    <row r="623" ht="15.75" customHeight="1">
      <c r="A623" s="181"/>
      <c r="B623" s="181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  <c r="AA623" s="181"/>
      <c r="AB623" s="181"/>
    </row>
    <row r="624" ht="15.75" customHeight="1">
      <c r="A624" s="181"/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  <c r="AA624" s="181"/>
      <c r="AB624" s="181"/>
    </row>
    <row r="625" ht="15.75" customHeight="1">
      <c r="A625" s="181"/>
      <c r="B625" s="181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  <c r="AA625" s="181"/>
      <c r="AB625" s="181"/>
    </row>
    <row r="626" ht="15.75" customHeight="1">
      <c r="A626" s="181"/>
      <c r="B626" s="181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  <c r="AB626" s="181"/>
    </row>
    <row r="627" ht="15.75" customHeight="1">
      <c r="A627" s="181"/>
      <c r="B627" s="181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  <c r="AA627" s="181"/>
      <c r="AB627" s="181"/>
    </row>
    <row r="628" ht="15.75" customHeight="1">
      <c r="A628" s="181"/>
      <c r="B628" s="181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  <c r="AB628" s="181"/>
    </row>
    <row r="629" ht="15.75" customHeight="1">
      <c r="A629" s="181"/>
      <c r="B629" s="181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  <c r="AA629" s="181"/>
      <c r="AB629" s="181"/>
    </row>
    <row r="630" ht="15.75" customHeight="1">
      <c r="A630" s="181"/>
      <c r="B630" s="181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  <c r="AB630" s="181"/>
    </row>
    <row r="631" ht="15.75" customHeight="1">
      <c r="A631" s="181"/>
      <c r="B631" s="181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  <c r="AA631" s="181"/>
      <c r="AB631" s="181"/>
    </row>
    <row r="632" ht="15.75" customHeight="1">
      <c r="A632" s="181"/>
      <c r="B632" s="181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  <c r="AA632" s="181"/>
      <c r="AB632" s="181"/>
    </row>
    <row r="633" ht="15.75" customHeight="1">
      <c r="A633" s="181"/>
      <c r="B633" s="181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  <c r="AA633" s="181"/>
      <c r="AB633" s="181"/>
    </row>
    <row r="634" ht="15.75" customHeight="1">
      <c r="A634" s="181"/>
      <c r="B634" s="181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  <c r="AA634" s="181"/>
      <c r="AB634" s="181"/>
    </row>
    <row r="635" ht="15.75" customHeight="1">
      <c r="A635" s="181"/>
      <c r="B635" s="181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  <c r="AA635" s="181"/>
      <c r="AB635" s="181"/>
    </row>
    <row r="636" ht="15.75" customHeight="1">
      <c r="A636" s="181"/>
      <c r="B636" s="181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  <c r="AA636" s="181"/>
      <c r="AB636" s="181"/>
    </row>
    <row r="637" ht="15.75" customHeight="1">
      <c r="A637" s="181"/>
      <c r="B637" s="181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  <c r="AA637" s="181"/>
      <c r="AB637" s="181"/>
    </row>
    <row r="638" ht="15.75" customHeight="1">
      <c r="A638" s="181"/>
      <c r="B638" s="181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  <c r="AA638" s="181"/>
      <c r="AB638" s="181"/>
    </row>
    <row r="639" ht="15.75" customHeight="1">
      <c r="A639" s="181"/>
      <c r="B639" s="181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  <c r="AA639" s="181"/>
      <c r="AB639" s="181"/>
    </row>
    <row r="640" ht="15.75" customHeight="1">
      <c r="A640" s="181"/>
      <c r="B640" s="181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  <c r="AA640" s="181"/>
      <c r="AB640" s="181"/>
    </row>
    <row r="641" ht="15.75" customHeight="1">
      <c r="A641" s="181"/>
      <c r="B641" s="181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  <c r="AA641" s="181"/>
      <c r="AB641" s="181"/>
    </row>
    <row r="642" ht="15.75" customHeight="1">
      <c r="A642" s="181"/>
      <c r="B642" s="181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  <c r="AA642" s="181"/>
      <c r="AB642" s="181"/>
    </row>
    <row r="643" ht="15.75" customHeight="1">
      <c r="A643" s="181"/>
      <c r="B643" s="181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  <c r="AA643" s="181"/>
      <c r="AB643" s="181"/>
    </row>
    <row r="644" ht="15.75" customHeight="1">
      <c r="A644" s="181"/>
      <c r="B644" s="181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  <c r="AA644" s="181"/>
      <c r="AB644" s="181"/>
    </row>
    <row r="645" ht="15.75" customHeight="1">
      <c r="A645" s="181"/>
      <c r="B645" s="181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  <c r="AA645" s="181"/>
      <c r="AB645" s="181"/>
    </row>
    <row r="646" ht="15.75" customHeight="1">
      <c r="A646" s="181"/>
      <c r="B646" s="181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  <c r="AA646" s="181"/>
      <c r="AB646" s="181"/>
    </row>
    <row r="647" ht="15.75" customHeight="1">
      <c r="A647" s="181"/>
      <c r="B647" s="181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  <c r="AA647" s="181"/>
      <c r="AB647" s="181"/>
    </row>
    <row r="648" ht="15.75" customHeight="1">
      <c r="A648" s="181"/>
      <c r="B648" s="181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  <c r="AA648" s="181"/>
      <c r="AB648" s="181"/>
    </row>
    <row r="649" ht="15.75" customHeight="1">
      <c r="A649" s="181"/>
      <c r="B649" s="181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  <c r="AA649" s="181"/>
      <c r="AB649" s="181"/>
    </row>
    <row r="650" ht="15.75" customHeight="1">
      <c r="A650" s="181"/>
      <c r="B650" s="181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  <c r="AA650" s="181"/>
      <c r="AB650" s="181"/>
    </row>
    <row r="651" ht="15.75" customHeight="1">
      <c r="A651" s="181"/>
      <c r="B651" s="181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  <c r="AA651" s="181"/>
      <c r="AB651" s="181"/>
    </row>
    <row r="652" ht="15.75" customHeight="1">
      <c r="A652" s="181"/>
      <c r="B652" s="181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  <c r="AA652" s="181"/>
      <c r="AB652" s="181"/>
    </row>
    <row r="653" ht="15.75" customHeight="1">
      <c r="A653" s="181"/>
      <c r="B653" s="181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  <c r="AA653" s="181"/>
      <c r="AB653" s="181"/>
    </row>
    <row r="654" ht="15.75" customHeight="1">
      <c r="A654" s="181"/>
      <c r="B654" s="181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  <c r="AA654" s="181"/>
      <c r="AB654" s="181"/>
    </row>
    <row r="655" ht="15.75" customHeight="1">
      <c r="A655" s="181"/>
      <c r="B655" s="181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  <c r="AA655" s="181"/>
      <c r="AB655" s="181"/>
    </row>
    <row r="656" ht="15.75" customHeight="1">
      <c r="A656" s="181"/>
      <c r="B656" s="181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  <c r="AA656" s="181"/>
      <c r="AB656" s="181"/>
    </row>
    <row r="657" ht="15.75" customHeight="1">
      <c r="A657" s="181"/>
      <c r="B657" s="181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  <c r="AA657" s="181"/>
      <c r="AB657" s="181"/>
    </row>
    <row r="658" ht="15.75" customHeight="1">
      <c r="A658" s="181"/>
      <c r="B658" s="181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  <c r="AA658" s="181"/>
      <c r="AB658" s="181"/>
    </row>
    <row r="659" ht="15.75" customHeight="1">
      <c r="A659" s="181"/>
      <c r="B659" s="181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  <c r="AB659" s="181"/>
    </row>
    <row r="660" ht="15.75" customHeight="1">
      <c r="A660" s="181"/>
      <c r="B660" s="181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  <c r="AB660" s="181"/>
    </row>
    <row r="661" ht="15.75" customHeight="1">
      <c r="A661" s="181"/>
      <c r="B661" s="181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  <c r="AB661" s="181"/>
    </row>
    <row r="662" ht="15.75" customHeight="1">
      <c r="A662" s="181"/>
      <c r="B662" s="181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  <c r="AB662" s="181"/>
    </row>
    <row r="663" ht="15.75" customHeight="1">
      <c r="A663" s="181"/>
      <c r="B663" s="181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  <c r="AB663" s="181"/>
    </row>
    <row r="664" ht="15.75" customHeight="1">
      <c r="A664" s="181"/>
      <c r="B664" s="181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  <c r="AB664" s="181"/>
    </row>
    <row r="665" ht="15.75" customHeight="1">
      <c r="A665" s="181"/>
      <c r="B665" s="181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  <c r="AB665" s="181"/>
    </row>
    <row r="666" ht="15.75" customHeight="1">
      <c r="A666" s="181"/>
      <c r="B666" s="181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  <c r="AB666" s="181"/>
    </row>
    <row r="667" ht="15.75" customHeight="1">
      <c r="A667" s="181"/>
      <c r="B667" s="181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  <c r="AB667" s="181"/>
    </row>
    <row r="668" ht="15.75" customHeight="1">
      <c r="A668" s="181"/>
      <c r="B668" s="181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  <c r="AB668" s="181"/>
    </row>
    <row r="669" ht="15.75" customHeight="1">
      <c r="A669" s="181"/>
      <c r="B669" s="181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  <c r="AA669" s="181"/>
      <c r="AB669" s="181"/>
    </row>
    <row r="670" ht="15.75" customHeight="1">
      <c r="A670" s="181"/>
      <c r="B670" s="181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  <c r="AA670" s="181"/>
      <c r="AB670" s="181"/>
    </row>
    <row r="671" ht="15.75" customHeight="1">
      <c r="A671" s="181"/>
      <c r="B671" s="181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  <c r="AA671" s="181"/>
      <c r="AB671" s="181"/>
    </row>
    <row r="672" ht="15.75" customHeight="1">
      <c r="A672" s="181"/>
      <c r="B672" s="181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  <c r="AA672" s="181"/>
      <c r="AB672" s="181"/>
    </row>
    <row r="673" ht="15.75" customHeight="1">
      <c r="A673" s="181"/>
      <c r="B673" s="181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  <c r="AA673" s="181"/>
      <c r="AB673" s="181"/>
    </row>
    <row r="674" ht="15.75" customHeight="1">
      <c r="A674" s="181"/>
      <c r="B674" s="181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  <c r="AA674" s="181"/>
      <c r="AB674" s="181"/>
    </row>
    <row r="675" ht="15.75" customHeight="1">
      <c r="A675" s="181"/>
      <c r="B675" s="181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  <c r="AA675" s="181"/>
      <c r="AB675" s="181"/>
    </row>
    <row r="676" ht="15.75" customHeight="1">
      <c r="A676" s="181"/>
      <c r="B676" s="181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  <c r="AA676" s="181"/>
      <c r="AB676" s="181"/>
    </row>
    <row r="677" ht="15.75" customHeight="1">
      <c r="A677" s="181"/>
      <c r="B677" s="181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  <c r="AA677" s="181"/>
      <c r="AB677" s="181"/>
    </row>
    <row r="678" ht="15.75" customHeight="1">
      <c r="A678" s="181"/>
      <c r="B678" s="181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  <c r="AA678" s="181"/>
      <c r="AB678" s="181"/>
    </row>
    <row r="679" ht="15.75" customHeight="1">
      <c r="A679" s="181"/>
      <c r="B679" s="181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  <c r="AA679" s="181"/>
      <c r="AB679" s="181"/>
    </row>
    <row r="680" ht="15.75" customHeight="1">
      <c r="A680" s="181"/>
      <c r="B680" s="181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  <c r="AA680" s="181"/>
      <c r="AB680" s="181"/>
    </row>
    <row r="681" ht="15.75" customHeight="1">
      <c r="A681" s="181"/>
      <c r="B681" s="181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  <c r="AA681" s="181"/>
      <c r="AB681" s="181"/>
    </row>
    <row r="682" ht="15.75" customHeight="1">
      <c r="A682" s="181"/>
      <c r="B682" s="181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  <c r="AA682" s="181"/>
      <c r="AB682" s="181"/>
    </row>
    <row r="683" ht="15.75" customHeight="1">
      <c r="A683" s="181"/>
      <c r="B683" s="181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  <c r="AA683" s="181"/>
      <c r="AB683" s="181"/>
    </row>
    <row r="684" ht="15.75" customHeight="1">
      <c r="A684" s="181"/>
      <c r="B684" s="181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  <c r="AA684" s="181"/>
      <c r="AB684" s="181"/>
    </row>
    <row r="685" ht="15.75" customHeight="1">
      <c r="A685" s="181"/>
      <c r="B685" s="181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  <c r="AA685" s="181"/>
      <c r="AB685" s="181"/>
    </row>
    <row r="686" ht="15.75" customHeight="1">
      <c r="A686" s="181"/>
      <c r="B686" s="181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  <c r="AA686" s="181"/>
      <c r="AB686" s="181"/>
    </row>
    <row r="687" ht="15.75" customHeight="1">
      <c r="A687" s="181"/>
      <c r="B687" s="181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  <c r="AA687" s="181"/>
      <c r="AB687" s="181"/>
    </row>
    <row r="688" ht="15.75" customHeight="1">
      <c r="A688" s="181"/>
      <c r="B688" s="181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  <c r="AA688" s="181"/>
      <c r="AB688" s="181"/>
    </row>
    <row r="689" ht="15.75" customHeight="1">
      <c r="A689" s="181"/>
      <c r="B689" s="181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  <c r="AA689" s="181"/>
      <c r="AB689" s="181"/>
    </row>
    <row r="690" ht="15.75" customHeight="1">
      <c r="A690" s="181"/>
      <c r="B690" s="181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  <c r="AA690" s="181"/>
      <c r="AB690" s="181"/>
    </row>
    <row r="691" ht="15.75" customHeight="1">
      <c r="A691" s="181"/>
      <c r="B691" s="181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  <c r="AA691" s="181"/>
      <c r="AB691" s="181"/>
    </row>
    <row r="692" ht="15.75" customHeight="1">
      <c r="A692" s="181"/>
      <c r="B692" s="181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  <c r="AA692" s="181"/>
      <c r="AB692" s="181"/>
    </row>
    <row r="693" ht="15.75" customHeight="1">
      <c r="A693" s="181"/>
      <c r="B693" s="181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  <c r="AA693" s="181"/>
      <c r="AB693" s="181"/>
    </row>
    <row r="694" ht="15.75" customHeight="1">
      <c r="A694" s="181"/>
      <c r="B694" s="181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  <c r="AA694" s="181"/>
      <c r="AB694" s="181"/>
    </row>
    <row r="695" ht="15.75" customHeight="1">
      <c r="A695" s="181"/>
      <c r="B695" s="181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  <c r="AA695" s="181"/>
      <c r="AB695" s="181"/>
    </row>
    <row r="696" ht="15.75" customHeight="1">
      <c r="A696" s="181"/>
      <c r="B696" s="181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  <c r="AA696" s="181"/>
      <c r="AB696" s="181"/>
    </row>
    <row r="697" ht="15.75" customHeight="1">
      <c r="A697" s="181"/>
      <c r="B697" s="181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  <c r="AA697" s="181"/>
      <c r="AB697" s="181"/>
    </row>
    <row r="698" ht="15.75" customHeight="1">
      <c r="A698" s="181"/>
      <c r="B698" s="181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  <c r="AA698" s="181"/>
      <c r="AB698" s="181"/>
    </row>
    <row r="699" ht="15.75" customHeight="1">
      <c r="A699" s="181"/>
      <c r="B699" s="181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  <c r="AA699" s="181"/>
      <c r="AB699" s="181"/>
    </row>
    <row r="700" ht="15.75" customHeight="1">
      <c r="A700" s="181"/>
      <c r="B700" s="181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  <c r="AA700" s="181"/>
      <c r="AB700" s="181"/>
    </row>
    <row r="701" ht="15.75" customHeight="1">
      <c r="A701" s="181"/>
      <c r="B701" s="181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  <c r="AA701" s="181"/>
      <c r="AB701" s="181"/>
    </row>
    <row r="702" ht="15.75" customHeight="1">
      <c r="A702" s="181"/>
      <c r="B702" s="181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  <c r="AA702" s="181"/>
      <c r="AB702" s="181"/>
    </row>
    <row r="703" ht="15.75" customHeight="1">
      <c r="A703" s="181"/>
      <c r="B703" s="181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  <c r="AA703" s="181"/>
      <c r="AB703" s="181"/>
    </row>
    <row r="704" ht="15.75" customHeight="1">
      <c r="A704" s="181"/>
      <c r="B704" s="181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  <c r="AA704" s="181"/>
      <c r="AB704" s="181"/>
    </row>
    <row r="705" ht="15.75" customHeight="1">
      <c r="A705" s="181"/>
      <c r="B705" s="181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  <c r="AA705" s="181"/>
      <c r="AB705" s="181"/>
    </row>
    <row r="706" ht="15.75" customHeight="1">
      <c r="A706" s="181"/>
      <c r="B706" s="181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  <c r="AA706" s="181"/>
      <c r="AB706" s="181"/>
    </row>
    <row r="707" ht="15.75" customHeight="1">
      <c r="A707" s="181"/>
      <c r="B707" s="181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  <c r="AA707" s="181"/>
      <c r="AB707" s="181"/>
    </row>
    <row r="708" ht="15.75" customHeight="1">
      <c r="A708" s="181"/>
      <c r="B708" s="181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  <c r="AA708" s="181"/>
      <c r="AB708" s="181"/>
    </row>
    <row r="709" ht="15.75" customHeight="1">
      <c r="A709" s="181"/>
      <c r="B709" s="181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  <c r="AA709" s="181"/>
      <c r="AB709" s="181"/>
    </row>
    <row r="710" ht="15.75" customHeight="1">
      <c r="A710" s="181"/>
      <c r="B710" s="181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  <c r="AA710" s="181"/>
      <c r="AB710" s="181"/>
    </row>
    <row r="711" ht="15.75" customHeight="1">
      <c r="A711" s="181"/>
      <c r="B711" s="181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  <c r="AA711" s="181"/>
      <c r="AB711" s="181"/>
    </row>
    <row r="712" ht="15.75" customHeight="1">
      <c r="A712" s="181"/>
      <c r="B712" s="181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  <c r="AA712" s="181"/>
      <c r="AB712" s="181"/>
    </row>
    <row r="713" ht="15.75" customHeight="1">
      <c r="A713" s="181"/>
      <c r="B713" s="181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  <c r="AA713" s="181"/>
      <c r="AB713" s="181"/>
    </row>
    <row r="714" ht="15.75" customHeight="1">
      <c r="A714" s="181"/>
      <c r="B714" s="181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  <c r="AA714" s="181"/>
      <c r="AB714" s="181"/>
    </row>
    <row r="715" ht="15.75" customHeight="1">
      <c r="A715" s="181"/>
      <c r="B715" s="181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  <c r="AA715" s="181"/>
      <c r="AB715" s="181"/>
    </row>
    <row r="716" ht="15.75" customHeight="1">
      <c r="A716" s="181"/>
      <c r="B716" s="181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  <c r="AA716" s="181"/>
      <c r="AB716" s="181"/>
    </row>
    <row r="717" ht="15.75" customHeight="1">
      <c r="A717" s="181"/>
      <c r="B717" s="181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  <c r="AA717" s="181"/>
      <c r="AB717" s="181"/>
    </row>
    <row r="718" ht="15.75" customHeight="1">
      <c r="A718" s="181"/>
      <c r="B718" s="181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  <c r="AA718" s="181"/>
      <c r="AB718" s="181"/>
    </row>
    <row r="719" ht="15.75" customHeight="1">
      <c r="A719" s="181"/>
      <c r="B719" s="181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  <c r="AA719" s="181"/>
      <c r="AB719" s="181"/>
    </row>
    <row r="720" ht="15.75" customHeight="1">
      <c r="A720" s="181"/>
      <c r="B720" s="181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  <c r="AA720" s="181"/>
      <c r="AB720" s="181"/>
    </row>
    <row r="721" ht="15.75" customHeight="1">
      <c r="A721" s="181"/>
      <c r="B721" s="181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  <c r="AA721" s="181"/>
      <c r="AB721" s="181"/>
    </row>
    <row r="722" ht="15.75" customHeight="1">
      <c r="A722" s="181"/>
      <c r="B722" s="181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  <c r="AA722" s="181"/>
      <c r="AB722" s="181"/>
    </row>
    <row r="723" ht="15.75" customHeight="1">
      <c r="A723" s="181"/>
      <c r="B723" s="181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  <c r="AA723" s="181"/>
      <c r="AB723" s="181"/>
    </row>
    <row r="724" ht="15.75" customHeight="1">
      <c r="A724" s="181"/>
      <c r="B724" s="181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  <c r="AB724" s="181"/>
    </row>
    <row r="725" ht="15.75" customHeight="1">
      <c r="A725" s="181"/>
      <c r="B725" s="181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  <c r="AA725" s="181"/>
      <c r="AB725" s="181"/>
    </row>
    <row r="726" ht="15.75" customHeight="1">
      <c r="A726" s="181"/>
      <c r="B726" s="181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  <c r="AA726" s="181"/>
      <c r="AB726" s="181"/>
    </row>
    <row r="727" ht="15.75" customHeight="1">
      <c r="A727" s="181"/>
      <c r="B727" s="181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  <c r="AA727" s="181"/>
      <c r="AB727" s="181"/>
    </row>
    <row r="728" ht="15.75" customHeight="1">
      <c r="A728" s="181"/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  <c r="AA728" s="181"/>
      <c r="AB728" s="181"/>
    </row>
    <row r="729" ht="15.75" customHeight="1">
      <c r="A729" s="181"/>
      <c r="B729" s="181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  <c r="AA729" s="181"/>
      <c r="AB729" s="181"/>
    </row>
    <row r="730" ht="15.75" customHeight="1">
      <c r="A730" s="181"/>
      <c r="B730" s="181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  <c r="AA730" s="181"/>
      <c r="AB730" s="181"/>
    </row>
    <row r="731" ht="15.75" customHeight="1">
      <c r="A731" s="181"/>
      <c r="B731" s="181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  <c r="AA731" s="181"/>
      <c r="AB731" s="181"/>
    </row>
    <row r="732" ht="15.75" customHeight="1">
      <c r="A732" s="181"/>
      <c r="B732" s="181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  <c r="AA732" s="181"/>
      <c r="AB732" s="181"/>
    </row>
    <row r="733" ht="15.75" customHeight="1">
      <c r="A733" s="181"/>
      <c r="B733" s="181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  <c r="AA733" s="181"/>
      <c r="AB733" s="181"/>
    </row>
    <row r="734" ht="15.75" customHeight="1">
      <c r="A734" s="181"/>
      <c r="B734" s="181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  <c r="AA734" s="181"/>
      <c r="AB734" s="181"/>
    </row>
    <row r="735" ht="15.75" customHeight="1">
      <c r="A735" s="181"/>
      <c r="B735" s="181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  <c r="AA735" s="181"/>
      <c r="AB735" s="181"/>
    </row>
    <row r="736" ht="15.75" customHeight="1">
      <c r="A736" s="181"/>
      <c r="B736" s="181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  <c r="AA736" s="181"/>
      <c r="AB736" s="181"/>
    </row>
    <row r="737" ht="15.75" customHeight="1">
      <c r="A737" s="181"/>
      <c r="B737" s="181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  <c r="AA737" s="181"/>
      <c r="AB737" s="181"/>
    </row>
    <row r="738" ht="15.75" customHeight="1">
      <c r="A738" s="181"/>
      <c r="B738" s="181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  <c r="AA738" s="181"/>
      <c r="AB738" s="181"/>
    </row>
    <row r="739" ht="15.75" customHeight="1">
      <c r="A739" s="181"/>
      <c r="B739" s="181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  <c r="AA739" s="181"/>
      <c r="AB739" s="181"/>
    </row>
    <row r="740" ht="15.75" customHeight="1">
      <c r="A740" s="181"/>
      <c r="B740" s="181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  <c r="AA740" s="181"/>
      <c r="AB740" s="181"/>
    </row>
    <row r="741" ht="15.75" customHeight="1">
      <c r="A741" s="181"/>
      <c r="B741" s="181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  <c r="AA741" s="181"/>
      <c r="AB741" s="181"/>
    </row>
    <row r="742" ht="15.75" customHeight="1">
      <c r="A742" s="181"/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  <c r="AA742" s="181"/>
      <c r="AB742" s="181"/>
    </row>
    <row r="743" ht="15.75" customHeight="1">
      <c r="A743" s="181"/>
      <c r="B743" s="181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  <c r="AA743" s="181"/>
      <c r="AB743" s="181"/>
    </row>
    <row r="744" ht="15.75" customHeight="1">
      <c r="A744" s="181"/>
      <c r="B744" s="181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  <c r="AA744" s="181"/>
      <c r="AB744" s="181"/>
    </row>
    <row r="745" ht="15.75" customHeight="1">
      <c r="A745" s="181"/>
      <c r="B745" s="181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  <c r="AA745" s="181"/>
      <c r="AB745" s="181"/>
    </row>
    <row r="746" ht="15.75" customHeight="1">
      <c r="A746" s="181"/>
      <c r="B746" s="181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  <c r="AA746" s="181"/>
      <c r="AB746" s="181"/>
    </row>
    <row r="747" ht="15.75" customHeight="1">
      <c r="A747" s="181"/>
      <c r="B747" s="181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  <c r="AA747" s="181"/>
      <c r="AB747" s="181"/>
    </row>
    <row r="748" ht="15.75" customHeight="1">
      <c r="A748" s="181"/>
      <c r="B748" s="181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  <c r="AA748" s="181"/>
      <c r="AB748" s="181"/>
    </row>
    <row r="749" ht="15.75" customHeight="1">
      <c r="A749" s="181"/>
      <c r="B749" s="181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  <c r="AA749" s="181"/>
      <c r="AB749" s="181"/>
    </row>
    <row r="750" ht="15.75" customHeight="1">
      <c r="A750" s="181"/>
      <c r="B750" s="181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  <c r="AA750" s="181"/>
      <c r="AB750" s="181"/>
    </row>
    <row r="751" ht="15.75" customHeight="1">
      <c r="A751" s="181"/>
      <c r="B751" s="181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  <c r="AA751" s="181"/>
      <c r="AB751" s="181"/>
    </row>
    <row r="752" ht="15.75" customHeight="1">
      <c r="A752" s="181"/>
      <c r="B752" s="181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  <c r="AA752" s="181"/>
      <c r="AB752" s="181"/>
    </row>
    <row r="753" ht="15.75" customHeight="1">
      <c r="A753" s="181"/>
      <c r="B753" s="181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  <c r="AA753" s="181"/>
      <c r="AB753" s="181"/>
    </row>
    <row r="754" ht="15.75" customHeight="1">
      <c r="A754" s="181"/>
      <c r="B754" s="181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  <c r="AA754" s="181"/>
      <c r="AB754" s="181"/>
    </row>
    <row r="755" ht="15.75" customHeight="1">
      <c r="A755" s="181"/>
      <c r="B755" s="181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  <c r="AA755" s="181"/>
      <c r="AB755" s="181"/>
    </row>
    <row r="756" ht="15.75" customHeight="1">
      <c r="A756" s="181"/>
      <c r="B756" s="181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  <c r="AA756" s="181"/>
      <c r="AB756" s="181"/>
    </row>
    <row r="757" ht="15.75" customHeight="1">
      <c r="A757" s="181"/>
      <c r="B757" s="181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  <c r="AA757" s="181"/>
      <c r="AB757" s="181"/>
    </row>
    <row r="758" ht="15.75" customHeight="1">
      <c r="A758" s="181"/>
      <c r="B758" s="181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  <c r="AA758" s="181"/>
      <c r="AB758" s="181"/>
    </row>
    <row r="759" ht="15.75" customHeight="1">
      <c r="A759" s="181"/>
      <c r="B759" s="181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  <c r="AA759" s="181"/>
      <c r="AB759" s="181"/>
    </row>
    <row r="760" ht="15.75" customHeight="1">
      <c r="A760" s="181"/>
      <c r="B760" s="181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  <c r="AA760" s="181"/>
      <c r="AB760" s="181"/>
    </row>
    <row r="761" ht="15.75" customHeight="1">
      <c r="A761" s="181"/>
      <c r="B761" s="181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  <c r="AA761" s="181"/>
      <c r="AB761" s="181"/>
    </row>
    <row r="762" ht="15.75" customHeight="1">
      <c r="A762" s="181"/>
      <c r="B762" s="181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  <c r="AA762" s="181"/>
      <c r="AB762" s="181"/>
    </row>
    <row r="763" ht="15.75" customHeight="1">
      <c r="A763" s="181"/>
      <c r="B763" s="181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  <c r="AA763" s="181"/>
      <c r="AB763" s="181"/>
    </row>
    <row r="764" ht="15.75" customHeight="1">
      <c r="A764" s="181"/>
      <c r="B764" s="181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  <c r="AA764" s="181"/>
      <c r="AB764" s="181"/>
    </row>
    <row r="765" ht="15.75" customHeight="1">
      <c r="A765" s="181"/>
      <c r="B765" s="181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  <c r="AA765" s="181"/>
      <c r="AB765" s="181"/>
    </row>
    <row r="766" ht="15.75" customHeight="1">
      <c r="A766" s="181"/>
      <c r="B766" s="181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  <c r="AA766" s="181"/>
      <c r="AB766" s="181"/>
    </row>
    <row r="767" ht="15.75" customHeight="1">
      <c r="A767" s="181"/>
      <c r="B767" s="181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  <c r="AA767" s="181"/>
      <c r="AB767" s="181"/>
    </row>
    <row r="768" ht="15.75" customHeight="1">
      <c r="A768" s="181"/>
      <c r="B768" s="181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  <c r="AA768" s="181"/>
      <c r="AB768" s="181"/>
    </row>
    <row r="769" ht="15.75" customHeight="1">
      <c r="A769" s="181"/>
      <c r="B769" s="181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  <c r="AA769" s="181"/>
      <c r="AB769" s="181"/>
    </row>
    <row r="770" ht="15.75" customHeight="1">
      <c r="A770" s="181"/>
      <c r="B770" s="181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  <c r="AA770" s="181"/>
      <c r="AB770" s="181"/>
    </row>
    <row r="771" ht="15.75" customHeight="1">
      <c r="A771" s="181"/>
      <c r="B771" s="181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  <c r="AA771" s="181"/>
      <c r="AB771" s="181"/>
    </row>
    <row r="772" ht="15.75" customHeight="1">
      <c r="A772" s="181"/>
      <c r="B772" s="181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  <c r="AA772" s="181"/>
      <c r="AB772" s="181"/>
    </row>
    <row r="773" ht="15.75" customHeight="1">
      <c r="A773" s="181"/>
      <c r="B773" s="181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  <c r="AA773" s="181"/>
      <c r="AB773" s="181"/>
    </row>
    <row r="774" ht="15.75" customHeight="1">
      <c r="A774" s="181"/>
      <c r="B774" s="181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  <c r="AA774" s="181"/>
      <c r="AB774" s="181"/>
    </row>
    <row r="775" ht="15.75" customHeight="1">
      <c r="A775" s="181"/>
      <c r="B775" s="181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  <c r="AA775" s="181"/>
      <c r="AB775" s="181"/>
    </row>
    <row r="776" ht="15.75" customHeight="1">
      <c r="A776" s="181"/>
      <c r="B776" s="181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  <c r="AA776" s="181"/>
      <c r="AB776" s="181"/>
    </row>
    <row r="777" ht="15.75" customHeight="1">
      <c r="A777" s="181"/>
      <c r="B777" s="181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  <c r="AA777" s="181"/>
      <c r="AB777" s="181"/>
    </row>
    <row r="778" ht="15.75" customHeight="1">
      <c r="A778" s="181"/>
      <c r="B778" s="181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  <c r="AA778" s="181"/>
      <c r="AB778" s="181"/>
    </row>
    <row r="779" ht="15.75" customHeight="1">
      <c r="A779" s="181"/>
      <c r="B779" s="181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  <c r="AA779" s="181"/>
      <c r="AB779" s="181"/>
    </row>
    <row r="780" ht="15.75" customHeight="1">
      <c r="A780" s="181"/>
      <c r="B780" s="181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  <c r="AA780" s="181"/>
      <c r="AB780" s="181"/>
    </row>
    <row r="781" ht="15.75" customHeight="1">
      <c r="A781" s="181"/>
      <c r="B781" s="181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  <c r="AA781" s="181"/>
      <c r="AB781" s="181"/>
    </row>
    <row r="782" ht="15.75" customHeight="1">
      <c r="A782" s="181"/>
      <c r="B782" s="181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  <c r="AA782" s="181"/>
      <c r="AB782" s="181"/>
    </row>
    <row r="783" ht="15.75" customHeight="1">
      <c r="A783" s="181"/>
      <c r="B783" s="181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  <c r="AA783" s="181"/>
      <c r="AB783" s="181"/>
    </row>
    <row r="784" ht="15.75" customHeight="1">
      <c r="A784" s="181"/>
      <c r="B784" s="181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  <c r="AA784" s="181"/>
      <c r="AB784" s="181"/>
    </row>
    <row r="785" ht="15.75" customHeight="1">
      <c r="A785" s="181"/>
      <c r="B785" s="181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  <c r="AA785" s="181"/>
      <c r="AB785" s="181"/>
    </row>
    <row r="786" ht="15.75" customHeight="1">
      <c r="A786" s="181"/>
      <c r="B786" s="181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  <c r="AA786" s="181"/>
      <c r="AB786" s="181"/>
    </row>
    <row r="787" ht="15.75" customHeight="1">
      <c r="A787" s="181"/>
      <c r="B787" s="181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  <c r="AA787" s="181"/>
      <c r="AB787" s="181"/>
    </row>
    <row r="788" ht="15.75" customHeight="1">
      <c r="A788" s="181"/>
      <c r="B788" s="181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  <c r="AA788" s="181"/>
      <c r="AB788" s="181"/>
    </row>
    <row r="789" ht="15.75" customHeight="1">
      <c r="A789" s="181"/>
      <c r="B789" s="181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  <c r="AA789" s="181"/>
      <c r="AB789" s="181"/>
    </row>
    <row r="790" ht="15.75" customHeight="1">
      <c r="A790" s="181"/>
      <c r="B790" s="181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  <c r="AA790" s="181"/>
      <c r="AB790" s="181"/>
    </row>
    <row r="791" ht="15.75" customHeight="1">
      <c r="A791" s="181"/>
      <c r="B791" s="181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  <c r="AA791" s="181"/>
      <c r="AB791" s="181"/>
    </row>
    <row r="792" ht="15.75" customHeight="1">
      <c r="A792" s="181"/>
      <c r="B792" s="181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  <c r="AA792" s="181"/>
      <c r="AB792" s="181"/>
    </row>
    <row r="793" ht="15.75" customHeight="1">
      <c r="A793" s="181"/>
      <c r="B793" s="181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  <c r="AA793" s="181"/>
      <c r="AB793" s="181"/>
    </row>
    <row r="794" ht="15.75" customHeight="1">
      <c r="A794" s="181"/>
      <c r="B794" s="181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  <c r="AA794" s="181"/>
      <c r="AB794" s="181"/>
    </row>
    <row r="795" ht="15.75" customHeight="1">
      <c r="A795" s="181"/>
      <c r="B795" s="181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  <c r="AA795" s="181"/>
      <c r="AB795" s="181"/>
    </row>
    <row r="796" ht="15.75" customHeight="1">
      <c r="A796" s="181"/>
      <c r="B796" s="181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  <c r="AA796" s="181"/>
      <c r="AB796" s="181"/>
    </row>
    <row r="797" ht="15.75" customHeight="1">
      <c r="A797" s="181"/>
      <c r="B797" s="181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  <c r="AA797" s="181"/>
      <c r="AB797" s="181"/>
    </row>
    <row r="798" ht="15.75" customHeight="1">
      <c r="A798" s="181"/>
      <c r="B798" s="181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  <c r="AA798" s="181"/>
      <c r="AB798" s="181"/>
    </row>
    <row r="799" ht="15.75" customHeight="1">
      <c r="A799" s="181"/>
      <c r="B799" s="181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  <c r="AA799" s="181"/>
      <c r="AB799" s="181"/>
    </row>
    <row r="800" ht="15.75" customHeight="1">
      <c r="A800" s="181"/>
      <c r="B800" s="181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  <c r="AA800" s="181"/>
      <c r="AB800" s="181"/>
    </row>
    <row r="801" ht="15.75" customHeight="1">
      <c r="A801" s="181"/>
      <c r="B801" s="181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  <c r="AA801" s="181"/>
      <c r="AB801" s="181"/>
    </row>
    <row r="802" ht="15.75" customHeight="1">
      <c r="A802" s="181"/>
      <c r="B802" s="181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  <c r="AA802" s="181"/>
      <c r="AB802" s="181"/>
    </row>
    <row r="803" ht="15.75" customHeight="1">
      <c r="A803" s="181"/>
      <c r="B803" s="181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  <c r="AA803" s="181"/>
      <c r="AB803" s="181"/>
    </row>
    <row r="804" ht="15.75" customHeight="1">
      <c r="A804" s="181"/>
      <c r="B804" s="181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  <c r="AA804" s="181"/>
      <c r="AB804" s="181"/>
    </row>
    <row r="805" ht="15.75" customHeight="1">
      <c r="A805" s="181"/>
      <c r="B805" s="181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  <c r="AA805" s="181"/>
      <c r="AB805" s="181"/>
    </row>
    <row r="806" ht="15.75" customHeight="1">
      <c r="A806" s="181"/>
      <c r="B806" s="181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  <c r="AA806" s="181"/>
      <c r="AB806" s="181"/>
    </row>
    <row r="807" ht="15.75" customHeight="1">
      <c r="A807" s="181"/>
      <c r="B807" s="181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  <c r="AA807" s="181"/>
      <c r="AB807" s="181"/>
    </row>
    <row r="808" ht="15.75" customHeight="1">
      <c r="A808" s="181"/>
      <c r="B808" s="181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  <c r="AA808" s="181"/>
      <c r="AB808" s="181"/>
    </row>
    <row r="809" ht="15.75" customHeight="1">
      <c r="A809" s="181"/>
      <c r="B809" s="181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  <c r="AA809" s="181"/>
      <c r="AB809" s="181"/>
    </row>
    <row r="810" ht="15.75" customHeight="1">
      <c r="A810" s="181"/>
      <c r="B810" s="181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  <c r="AA810" s="181"/>
      <c r="AB810" s="181"/>
    </row>
    <row r="811" ht="15.75" customHeight="1">
      <c r="A811" s="181"/>
      <c r="B811" s="181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  <c r="AA811" s="181"/>
      <c r="AB811" s="181"/>
    </row>
    <row r="812" ht="15.75" customHeight="1">
      <c r="A812" s="181"/>
      <c r="B812" s="181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  <c r="AA812" s="181"/>
      <c r="AB812" s="181"/>
    </row>
    <row r="813" ht="15.75" customHeight="1">
      <c r="A813" s="181"/>
      <c r="B813" s="181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  <c r="AA813" s="181"/>
      <c r="AB813" s="181"/>
    </row>
    <row r="814" ht="15.75" customHeight="1">
      <c r="A814" s="181"/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  <c r="AA814" s="181"/>
      <c r="AB814" s="181"/>
    </row>
    <row r="815" ht="15.75" customHeight="1">
      <c r="A815" s="181"/>
      <c r="B815" s="181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  <c r="AA815" s="181"/>
      <c r="AB815" s="181"/>
    </row>
    <row r="816" ht="15.75" customHeight="1">
      <c r="A816" s="181"/>
      <c r="B816" s="181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  <c r="AA816" s="181"/>
      <c r="AB816" s="181"/>
    </row>
    <row r="817" ht="15.75" customHeight="1">
      <c r="A817" s="181"/>
      <c r="B817" s="181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  <c r="AA817" s="181"/>
      <c r="AB817" s="181"/>
    </row>
    <row r="818" ht="15.75" customHeight="1">
      <c r="A818" s="181"/>
      <c r="B818" s="181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  <c r="AA818" s="181"/>
      <c r="AB818" s="181"/>
    </row>
    <row r="819" ht="15.75" customHeight="1">
      <c r="A819" s="181"/>
      <c r="B819" s="181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  <c r="AA819" s="181"/>
      <c r="AB819" s="181"/>
    </row>
    <row r="820" ht="15.75" customHeight="1">
      <c r="A820" s="181"/>
      <c r="B820" s="181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  <c r="AA820" s="181"/>
      <c r="AB820" s="181"/>
    </row>
    <row r="821" ht="15.75" customHeight="1">
      <c r="A821" s="181"/>
      <c r="B821" s="181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  <c r="AA821" s="181"/>
      <c r="AB821" s="181"/>
    </row>
    <row r="822" ht="15.75" customHeight="1">
      <c r="A822" s="181"/>
      <c r="B822" s="181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  <c r="AA822" s="181"/>
      <c r="AB822" s="181"/>
    </row>
    <row r="823" ht="15.75" customHeight="1">
      <c r="A823" s="181"/>
      <c r="B823" s="181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  <c r="AA823" s="181"/>
      <c r="AB823" s="181"/>
    </row>
    <row r="824" ht="15.75" customHeight="1">
      <c r="A824" s="181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  <c r="AA824" s="181"/>
      <c r="AB824" s="181"/>
    </row>
    <row r="825" ht="15.75" customHeight="1">
      <c r="A825" s="181"/>
      <c r="B825" s="181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  <c r="AA825" s="181"/>
      <c r="AB825" s="181"/>
    </row>
    <row r="826" ht="15.75" customHeight="1">
      <c r="A826" s="181"/>
      <c r="B826" s="181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  <c r="AA826" s="181"/>
      <c r="AB826" s="181"/>
    </row>
    <row r="827" ht="15.75" customHeight="1">
      <c r="A827" s="181"/>
      <c r="B827" s="181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  <c r="AA827" s="181"/>
      <c r="AB827" s="181"/>
    </row>
    <row r="828" ht="15.75" customHeight="1">
      <c r="A828" s="181"/>
      <c r="B828" s="181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  <c r="AA828" s="181"/>
      <c r="AB828" s="181"/>
    </row>
    <row r="829" ht="15.75" customHeight="1">
      <c r="A829" s="181"/>
      <c r="B829" s="181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  <c r="AA829" s="181"/>
      <c r="AB829" s="181"/>
    </row>
    <row r="830" ht="15.75" customHeight="1">
      <c r="A830" s="181"/>
      <c r="B830" s="181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  <c r="AA830" s="181"/>
      <c r="AB830" s="181"/>
    </row>
    <row r="831" ht="15.75" customHeight="1">
      <c r="A831" s="181"/>
      <c r="B831" s="181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  <c r="AA831" s="181"/>
      <c r="AB831" s="181"/>
    </row>
    <row r="832" ht="15.75" customHeight="1">
      <c r="A832" s="181"/>
      <c r="B832" s="181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  <c r="AA832" s="181"/>
      <c r="AB832" s="181"/>
    </row>
    <row r="833" ht="15.75" customHeight="1">
      <c r="A833" s="181"/>
      <c r="B833" s="181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  <c r="AA833" s="181"/>
      <c r="AB833" s="181"/>
    </row>
    <row r="834" ht="15.75" customHeight="1">
      <c r="A834" s="181"/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  <c r="AA834" s="181"/>
      <c r="AB834" s="181"/>
    </row>
    <row r="835" ht="15.75" customHeight="1">
      <c r="A835" s="181"/>
      <c r="B835" s="181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  <c r="AA835" s="181"/>
      <c r="AB835" s="181"/>
    </row>
    <row r="836" ht="15.75" customHeight="1">
      <c r="A836" s="181"/>
      <c r="B836" s="181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  <c r="AA836" s="181"/>
      <c r="AB836" s="181"/>
    </row>
    <row r="837" ht="15.75" customHeight="1">
      <c r="A837" s="181"/>
      <c r="B837" s="181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  <c r="AA837" s="181"/>
      <c r="AB837" s="181"/>
    </row>
    <row r="838" ht="15.75" customHeight="1">
      <c r="A838" s="181"/>
      <c r="B838" s="181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  <c r="AA838" s="181"/>
      <c r="AB838" s="181"/>
    </row>
    <row r="839" ht="15.75" customHeight="1">
      <c r="A839" s="181"/>
      <c r="B839" s="181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  <c r="AA839" s="181"/>
      <c r="AB839" s="181"/>
    </row>
    <row r="840" ht="15.75" customHeight="1">
      <c r="A840" s="181"/>
      <c r="B840" s="181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  <c r="AA840" s="181"/>
      <c r="AB840" s="181"/>
    </row>
    <row r="841" ht="15.75" customHeight="1">
      <c r="A841" s="181"/>
      <c r="B841" s="181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  <c r="AA841" s="181"/>
      <c r="AB841" s="181"/>
    </row>
    <row r="842" ht="15.75" customHeight="1">
      <c r="A842" s="181"/>
      <c r="B842" s="181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  <c r="AA842" s="181"/>
      <c r="AB842" s="181"/>
    </row>
    <row r="843" ht="15.75" customHeight="1">
      <c r="A843" s="181"/>
      <c r="B843" s="181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  <c r="AA843" s="181"/>
      <c r="AB843" s="181"/>
    </row>
    <row r="844" ht="15.75" customHeight="1">
      <c r="A844" s="181"/>
      <c r="B844" s="181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  <c r="AA844" s="181"/>
      <c r="AB844" s="181"/>
    </row>
    <row r="845" ht="15.75" customHeight="1">
      <c r="A845" s="181"/>
      <c r="B845" s="181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  <c r="AA845" s="181"/>
      <c r="AB845" s="181"/>
    </row>
    <row r="846" ht="15.75" customHeight="1">
      <c r="A846" s="181"/>
      <c r="B846" s="181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  <c r="AA846" s="181"/>
      <c r="AB846" s="181"/>
    </row>
    <row r="847" ht="15.75" customHeight="1">
      <c r="A847" s="181"/>
      <c r="B847" s="181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  <c r="AA847" s="181"/>
      <c r="AB847" s="181"/>
    </row>
    <row r="848" ht="15.75" customHeight="1">
      <c r="A848" s="181"/>
      <c r="B848" s="181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  <c r="AA848" s="181"/>
      <c r="AB848" s="181"/>
    </row>
    <row r="849" ht="15.75" customHeight="1">
      <c r="A849" s="181"/>
      <c r="B849" s="181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  <c r="AA849" s="181"/>
      <c r="AB849" s="181"/>
    </row>
    <row r="850" ht="15.75" customHeight="1">
      <c r="A850" s="181"/>
      <c r="B850" s="181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  <c r="AA850" s="181"/>
      <c r="AB850" s="181"/>
    </row>
    <row r="851" ht="15.75" customHeight="1">
      <c r="A851" s="181"/>
      <c r="B851" s="181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  <c r="AA851" s="181"/>
      <c r="AB851" s="181"/>
    </row>
    <row r="852" ht="15.75" customHeight="1">
      <c r="A852" s="181"/>
      <c r="B852" s="181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  <c r="AA852" s="181"/>
      <c r="AB852" s="181"/>
    </row>
    <row r="853" ht="15.75" customHeight="1">
      <c r="A853" s="181"/>
      <c r="B853" s="181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  <c r="AA853" s="181"/>
      <c r="AB853" s="181"/>
    </row>
    <row r="854" ht="15.75" customHeight="1">
      <c r="A854" s="181"/>
      <c r="B854" s="181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  <c r="AA854" s="181"/>
      <c r="AB854" s="181"/>
    </row>
    <row r="855" ht="15.75" customHeight="1">
      <c r="A855" s="181"/>
      <c r="B855" s="181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  <c r="AA855" s="181"/>
      <c r="AB855" s="181"/>
    </row>
    <row r="856" ht="15.75" customHeight="1">
      <c r="A856" s="181"/>
      <c r="B856" s="181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  <c r="AA856" s="181"/>
      <c r="AB856" s="181"/>
    </row>
    <row r="857" ht="15.75" customHeight="1">
      <c r="A857" s="181"/>
      <c r="B857" s="181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  <c r="AA857" s="181"/>
      <c r="AB857" s="181"/>
    </row>
    <row r="858" ht="15.75" customHeight="1">
      <c r="A858" s="181"/>
      <c r="B858" s="181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  <c r="AA858" s="181"/>
      <c r="AB858" s="181"/>
    </row>
    <row r="859" ht="15.75" customHeight="1">
      <c r="A859" s="181"/>
      <c r="B859" s="181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  <c r="AA859" s="181"/>
      <c r="AB859" s="181"/>
    </row>
    <row r="860" ht="15.75" customHeight="1">
      <c r="A860" s="181"/>
      <c r="B860" s="181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  <c r="AA860" s="181"/>
      <c r="AB860" s="181"/>
    </row>
    <row r="861" ht="15.75" customHeight="1">
      <c r="A861" s="181"/>
      <c r="B861" s="181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  <c r="AA861" s="181"/>
      <c r="AB861" s="181"/>
    </row>
    <row r="862" ht="15.75" customHeight="1">
      <c r="A862" s="181"/>
      <c r="B862" s="181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  <c r="AA862" s="181"/>
      <c r="AB862" s="181"/>
    </row>
    <row r="863" ht="15.75" customHeight="1">
      <c r="A863" s="181"/>
      <c r="B863" s="181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  <c r="AA863" s="181"/>
      <c r="AB863" s="181"/>
    </row>
    <row r="864" ht="15.75" customHeight="1">
      <c r="A864" s="181"/>
      <c r="B864" s="181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  <c r="AA864" s="181"/>
      <c r="AB864" s="181"/>
    </row>
    <row r="865" ht="15.75" customHeight="1">
      <c r="A865" s="181"/>
      <c r="B865" s="181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  <c r="AA865" s="181"/>
      <c r="AB865" s="181"/>
    </row>
    <row r="866" ht="15.75" customHeight="1">
      <c r="A866" s="181"/>
      <c r="B866" s="181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  <c r="AA866" s="181"/>
      <c r="AB866" s="181"/>
    </row>
    <row r="867" ht="15.75" customHeight="1">
      <c r="A867" s="181"/>
      <c r="B867" s="181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  <c r="AA867" s="181"/>
      <c r="AB867" s="181"/>
    </row>
    <row r="868" ht="15.75" customHeight="1">
      <c r="A868" s="181"/>
      <c r="B868" s="181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  <c r="AA868" s="181"/>
      <c r="AB868" s="181"/>
    </row>
    <row r="869" ht="15.75" customHeight="1">
      <c r="A869" s="181"/>
      <c r="B869" s="181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  <c r="AA869" s="181"/>
      <c r="AB869" s="181"/>
    </row>
    <row r="870" ht="15.75" customHeight="1">
      <c r="A870" s="181"/>
      <c r="B870" s="181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  <c r="AA870" s="181"/>
      <c r="AB870" s="181"/>
    </row>
    <row r="871" ht="15.75" customHeight="1">
      <c r="A871" s="181"/>
      <c r="B871" s="181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  <c r="AA871" s="181"/>
      <c r="AB871" s="181"/>
    </row>
    <row r="872" ht="15.75" customHeight="1">
      <c r="A872" s="181"/>
      <c r="B872" s="181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  <c r="AA872" s="181"/>
      <c r="AB872" s="181"/>
    </row>
    <row r="873" ht="15.75" customHeight="1">
      <c r="A873" s="181"/>
      <c r="B873" s="181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  <c r="AA873" s="181"/>
      <c r="AB873" s="181"/>
    </row>
    <row r="874" ht="15.75" customHeight="1">
      <c r="A874" s="181"/>
      <c r="B874" s="181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  <c r="AA874" s="181"/>
      <c r="AB874" s="181"/>
    </row>
    <row r="875" ht="15.75" customHeight="1">
      <c r="A875" s="181"/>
      <c r="B875" s="181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  <c r="AA875" s="181"/>
      <c r="AB875" s="181"/>
    </row>
    <row r="876" ht="15.75" customHeight="1">
      <c r="A876" s="181"/>
      <c r="B876" s="181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  <c r="AA876" s="181"/>
      <c r="AB876" s="181"/>
    </row>
    <row r="877" ht="15.75" customHeight="1">
      <c r="A877" s="181"/>
      <c r="B877" s="181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  <c r="AA877" s="181"/>
      <c r="AB877" s="181"/>
    </row>
    <row r="878" ht="15.75" customHeight="1">
      <c r="A878" s="181"/>
      <c r="B878" s="181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  <c r="AA878" s="181"/>
      <c r="AB878" s="181"/>
    </row>
    <row r="879" ht="15.75" customHeight="1">
      <c r="A879" s="181"/>
      <c r="B879" s="181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  <c r="AA879" s="181"/>
      <c r="AB879" s="181"/>
    </row>
    <row r="880" ht="15.75" customHeight="1">
      <c r="A880" s="181"/>
      <c r="B880" s="181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  <c r="AA880" s="181"/>
      <c r="AB880" s="181"/>
    </row>
    <row r="881" ht="15.75" customHeight="1">
      <c r="A881" s="181"/>
      <c r="B881" s="181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  <c r="AA881" s="181"/>
      <c r="AB881" s="181"/>
    </row>
    <row r="882" ht="15.75" customHeight="1">
      <c r="A882" s="181"/>
      <c r="B882" s="181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  <c r="AA882" s="181"/>
      <c r="AB882" s="181"/>
    </row>
    <row r="883" ht="15.75" customHeight="1">
      <c r="A883" s="181"/>
      <c r="B883" s="181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  <c r="AA883" s="181"/>
      <c r="AB883" s="181"/>
    </row>
    <row r="884" ht="15.75" customHeight="1">
      <c r="A884" s="181"/>
      <c r="B884" s="181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  <c r="AA884" s="181"/>
      <c r="AB884" s="181"/>
    </row>
    <row r="885" ht="15.75" customHeight="1">
      <c r="A885" s="181"/>
      <c r="B885" s="181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  <c r="AA885" s="181"/>
      <c r="AB885" s="181"/>
    </row>
    <row r="886" ht="15.75" customHeight="1">
      <c r="A886" s="181"/>
      <c r="B886" s="181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  <c r="AA886" s="181"/>
      <c r="AB886" s="181"/>
    </row>
    <row r="887" ht="15.75" customHeight="1">
      <c r="A887" s="181"/>
      <c r="B887" s="181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  <c r="AA887" s="181"/>
      <c r="AB887" s="181"/>
    </row>
    <row r="888" ht="15.75" customHeight="1">
      <c r="A888" s="181"/>
      <c r="B888" s="181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  <c r="AA888" s="181"/>
      <c r="AB888" s="181"/>
    </row>
    <row r="889" ht="15.75" customHeight="1">
      <c r="A889" s="181"/>
      <c r="B889" s="181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  <c r="AA889" s="181"/>
      <c r="AB889" s="181"/>
    </row>
    <row r="890" ht="15.75" customHeight="1">
      <c r="A890" s="181"/>
      <c r="B890" s="181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  <c r="AA890" s="181"/>
      <c r="AB890" s="181"/>
    </row>
    <row r="891" ht="15.75" customHeight="1">
      <c r="A891" s="181"/>
      <c r="B891" s="181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  <c r="AA891" s="181"/>
      <c r="AB891" s="181"/>
    </row>
    <row r="892" ht="15.75" customHeight="1">
      <c r="A892" s="181"/>
      <c r="B892" s="181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  <c r="AA892" s="181"/>
      <c r="AB892" s="181"/>
    </row>
    <row r="893" ht="15.75" customHeight="1">
      <c r="A893" s="181"/>
      <c r="B893" s="181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  <c r="AA893" s="181"/>
      <c r="AB893" s="181"/>
    </row>
    <row r="894" ht="15.75" customHeight="1">
      <c r="A894" s="181"/>
      <c r="B894" s="181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  <c r="AA894" s="181"/>
      <c r="AB894" s="181"/>
    </row>
    <row r="895" ht="15.75" customHeight="1">
      <c r="A895" s="181"/>
      <c r="B895" s="181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  <c r="AA895" s="181"/>
      <c r="AB895" s="181"/>
    </row>
    <row r="896" ht="15.75" customHeight="1">
      <c r="A896" s="181"/>
      <c r="B896" s="181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  <c r="AA896" s="181"/>
      <c r="AB896" s="181"/>
    </row>
    <row r="897" ht="15.75" customHeight="1">
      <c r="A897" s="181"/>
      <c r="B897" s="181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  <c r="AA897" s="181"/>
      <c r="AB897" s="181"/>
    </row>
    <row r="898" ht="15.75" customHeight="1">
      <c r="A898" s="181"/>
      <c r="B898" s="181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  <c r="AA898" s="181"/>
      <c r="AB898" s="181"/>
    </row>
    <row r="899" ht="15.75" customHeight="1">
      <c r="A899" s="181"/>
      <c r="B899" s="181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  <c r="AA899" s="181"/>
      <c r="AB899" s="181"/>
    </row>
    <row r="900" ht="15.75" customHeight="1">
      <c r="A900" s="181"/>
      <c r="B900" s="181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  <c r="AA900" s="181"/>
      <c r="AB900" s="181"/>
    </row>
    <row r="901" ht="15.75" customHeight="1">
      <c r="A901" s="181"/>
      <c r="B901" s="181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  <c r="AA901" s="181"/>
      <c r="AB901" s="181"/>
    </row>
    <row r="902" ht="15.75" customHeight="1">
      <c r="A902" s="181"/>
      <c r="B902" s="181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  <c r="AA902" s="181"/>
      <c r="AB902" s="181"/>
    </row>
    <row r="903" ht="15.75" customHeight="1">
      <c r="A903" s="181"/>
      <c r="B903" s="181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  <c r="AA903" s="181"/>
      <c r="AB903" s="181"/>
    </row>
    <row r="904" ht="15.75" customHeight="1">
      <c r="A904" s="181"/>
      <c r="B904" s="181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  <c r="AA904" s="181"/>
      <c r="AB904" s="181"/>
    </row>
    <row r="905" ht="15.75" customHeight="1">
      <c r="A905" s="181"/>
      <c r="B905" s="181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  <c r="AA905" s="181"/>
      <c r="AB905" s="181"/>
    </row>
    <row r="906" ht="15.75" customHeight="1">
      <c r="A906" s="181"/>
      <c r="B906" s="181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  <c r="AA906" s="181"/>
      <c r="AB906" s="181"/>
    </row>
    <row r="907" ht="15.75" customHeight="1">
      <c r="A907" s="181"/>
      <c r="B907" s="181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  <c r="AA907" s="181"/>
      <c r="AB907" s="181"/>
    </row>
    <row r="908" ht="15.75" customHeight="1">
      <c r="A908" s="181"/>
      <c r="B908" s="181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  <c r="AA908" s="181"/>
      <c r="AB908" s="181"/>
    </row>
    <row r="909" ht="15.75" customHeight="1">
      <c r="A909" s="181"/>
      <c r="B909" s="181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  <c r="AA909" s="181"/>
      <c r="AB909" s="181"/>
    </row>
    <row r="910" ht="15.75" customHeight="1">
      <c r="A910" s="181"/>
      <c r="B910" s="181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  <c r="AA910" s="181"/>
      <c r="AB910" s="181"/>
    </row>
    <row r="911" ht="15.75" customHeight="1">
      <c r="A911" s="181"/>
      <c r="B911" s="181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  <c r="AA911" s="181"/>
      <c r="AB911" s="181"/>
    </row>
    <row r="912" ht="15.75" customHeight="1">
      <c r="A912" s="181"/>
      <c r="B912" s="181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  <c r="AA912" s="181"/>
      <c r="AB912" s="181"/>
    </row>
    <row r="913" ht="15.75" customHeight="1">
      <c r="A913" s="181"/>
      <c r="B913" s="181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  <c r="AA913" s="181"/>
      <c r="AB913" s="181"/>
    </row>
    <row r="914" ht="15.75" customHeight="1">
      <c r="A914" s="181"/>
      <c r="B914" s="181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  <c r="AA914" s="181"/>
      <c r="AB914" s="18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8" t="s">
        <v>328</v>
      </c>
    </row>
    <row r="3">
      <c r="B3" s="189" t="s">
        <v>329</v>
      </c>
      <c r="C3" s="189" t="s">
        <v>330</v>
      </c>
      <c r="D3" s="190" t="s">
        <v>331</v>
      </c>
      <c r="E3" s="190" t="s">
        <v>332</v>
      </c>
    </row>
    <row r="4">
      <c r="B4" s="191">
        <v>1.0</v>
      </c>
      <c r="C4" s="192" t="s">
        <v>333</v>
      </c>
      <c r="D4" s="193" t="s">
        <v>334</v>
      </c>
      <c r="E4" s="194" t="s">
        <v>335</v>
      </c>
    </row>
    <row r="5">
      <c r="B5" s="195"/>
      <c r="C5" s="195"/>
      <c r="D5" s="193" t="s">
        <v>336</v>
      </c>
      <c r="E5" s="193" t="s">
        <v>337</v>
      </c>
    </row>
    <row r="6">
      <c r="B6" s="195"/>
      <c r="C6" s="195"/>
      <c r="D6" s="193" t="s">
        <v>338</v>
      </c>
      <c r="E6" s="193" t="s">
        <v>339</v>
      </c>
    </row>
    <row r="7">
      <c r="B7" s="195"/>
      <c r="C7" s="195"/>
      <c r="D7" s="193" t="s">
        <v>340</v>
      </c>
      <c r="E7" s="193"/>
    </row>
    <row r="8">
      <c r="B8" s="195"/>
      <c r="C8" s="195"/>
      <c r="D8" s="193"/>
      <c r="E8" s="193"/>
    </row>
    <row r="9">
      <c r="B9" s="195"/>
      <c r="C9" s="195"/>
      <c r="D9" s="193"/>
      <c r="E9" s="193"/>
    </row>
    <row r="10">
      <c r="B10" s="195"/>
      <c r="C10" s="195"/>
      <c r="D10" s="193"/>
      <c r="E10" s="193"/>
    </row>
    <row r="11">
      <c r="B11" s="195"/>
      <c r="C11" s="195"/>
      <c r="D11" s="193"/>
      <c r="E11" s="193"/>
    </row>
    <row r="12">
      <c r="B12" s="196"/>
      <c r="C12" s="196"/>
      <c r="D12" s="197"/>
      <c r="E12" s="197"/>
    </row>
    <row r="13">
      <c r="B13" s="191">
        <v>2.0</v>
      </c>
      <c r="C13" s="192" t="s">
        <v>219</v>
      </c>
      <c r="D13" s="193" t="s">
        <v>341</v>
      </c>
      <c r="E13" s="193" t="s">
        <v>342</v>
      </c>
    </row>
    <row r="14">
      <c r="B14" s="195"/>
      <c r="C14" s="195"/>
      <c r="D14" s="193" t="s">
        <v>343</v>
      </c>
      <c r="E14" s="193" t="s">
        <v>344</v>
      </c>
    </row>
    <row r="15">
      <c r="B15" s="195"/>
      <c r="C15" s="195"/>
      <c r="D15" s="193" t="s">
        <v>345</v>
      </c>
      <c r="E15" s="193" t="s">
        <v>346</v>
      </c>
    </row>
    <row r="16">
      <c r="B16" s="195"/>
      <c r="C16" s="195"/>
      <c r="D16" s="193"/>
      <c r="E16" s="193"/>
    </row>
    <row r="17">
      <c r="B17" s="195"/>
      <c r="C17" s="195"/>
      <c r="D17" s="193"/>
      <c r="E17" s="193"/>
    </row>
    <row r="18">
      <c r="B18" s="195"/>
      <c r="C18" s="195"/>
      <c r="D18" s="193"/>
      <c r="E18" s="193"/>
    </row>
    <row r="19">
      <c r="B19" s="195"/>
      <c r="C19" s="195"/>
      <c r="D19" s="193"/>
      <c r="E19" s="193"/>
    </row>
    <row r="20" ht="15.75" customHeight="1">
      <c r="B20" s="195"/>
      <c r="C20" s="195"/>
      <c r="D20" s="193"/>
      <c r="E20" s="193"/>
    </row>
    <row r="21" ht="15.75" customHeight="1">
      <c r="B21" s="196"/>
      <c r="C21" s="196"/>
      <c r="D21" s="193"/>
      <c r="E21" s="193"/>
    </row>
    <row r="22" ht="15.75" customHeight="1">
      <c r="B22" s="191">
        <v>3.0</v>
      </c>
      <c r="C22" s="192" t="s">
        <v>220</v>
      </c>
      <c r="D22" s="193" t="s">
        <v>347</v>
      </c>
      <c r="E22" s="193" t="s">
        <v>348</v>
      </c>
      <c r="H22" s="198"/>
    </row>
    <row r="23" ht="15.75" customHeight="1">
      <c r="B23" s="195"/>
      <c r="C23" s="195"/>
      <c r="D23" s="193" t="s">
        <v>349</v>
      </c>
      <c r="E23" s="193" t="s">
        <v>350</v>
      </c>
      <c r="H23" s="198"/>
    </row>
    <row r="24" ht="15.75" customHeight="1">
      <c r="B24" s="195"/>
      <c r="C24" s="195"/>
      <c r="D24" s="193" t="s">
        <v>351</v>
      </c>
      <c r="E24" s="193" t="s">
        <v>352</v>
      </c>
      <c r="H24" s="198"/>
    </row>
    <row r="25" ht="15.75" customHeight="1">
      <c r="B25" s="195"/>
      <c r="C25" s="195"/>
      <c r="D25" s="193"/>
      <c r="E25" s="193" t="s">
        <v>353</v>
      </c>
      <c r="H25" s="198"/>
    </row>
    <row r="26" ht="15.75" customHeight="1">
      <c r="B26" s="195"/>
      <c r="C26" s="195"/>
      <c r="D26" s="193"/>
      <c r="E26" s="193" t="s">
        <v>354</v>
      </c>
      <c r="H26" s="198"/>
    </row>
    <row r="27" ht="15.75" customHeight="1">
      <c r="B27" s="195"/>
      <c r="C27" s="195"/>
      <c r="D27" s="193"/>
      <c r="E27" s="193" t="s">
        <v>355</v>
      </c>
      <c r="H27" s="198"/>
    </row>
    <row r="28" ht="15.75" customHeight="1">
      <c r="B28" s="195"/>
      <c r="C28" s="195"/>
      <c r="D28" s="193"/>
      <c r="E28" s="193"/>
      <c r="H28" s="198"/>
    </row>
    <row r="29" ht="15.75" customHeight="1">
      <c r="B29" s="195"/>
      <c r="C29" s="195"/>
      <c r="D29" s="193"/>
      <c r="E29" s="193"/>
    </row>
    <row r="30" ht="15.75" customHeight="1">
      <c r="B30" s="195"/>
      <c r="C30" s="195"/>
      <c r="D30" s="193"/>
      <c r="E30" s="193"/>
    </row>
    <row r="31" ht="15.75" customHeight="1">
      <c r="B31" s="195"/>
      <c r="C31" s="195"/>
      <c r="D31" s="193"/>
      <c r="E31" s="193"/>
    </row>
    <row r="32" ht="15.75" customHeight="1">
      <c r="B32" s="195"/>
      <c r="C32" s="195"/>
      <c r="D32" s="193"/>
      <c r="E32" s="193"/>
    </row>
    <row r="33" ht="15.75" customHeight="1">
      <c r="B33" s="195"/>
      <c r="C33" s="195"/>
      <c r="D33" s="193"/>
      <c r="E33" s="193"/>
    </row>
    <row r="34" ht="15.75" customHeight="1">
      <c r="B34" s="195"/>
      <c r="C34" s="195"/>
      <c r="D34" s="193"/>
      <c r="E34" s="193"/>
    </row>
    <row r="35" ht="15.75" customHeight="1">
      <c r="B35" s="196"/>
      <c r="C35" s="196"/>
      <c r="D35" s="193"/>
      <c r="E35" s="193"/>
    </row>
    <row r="36" ht="15.75" customHeight="1">
      <c r="B36" s="191">
        <v>4.0</v>
      </c>
      <c r="C36" s="192" t="s">
        <v>221</v>
      </c>
      <c r="D36" s="193" t="s">
        <v>356</v>
      </c>
      <c r="E36" s="193" t="s">
        <v>357</v>
      </c>
    </row>
    <row r="37" ht="15.75" customHeight="1">
      <c r="B37" s="195"/>
      <c r="C37" s="195"/>
      <c r="D37" s="193" t="s">
        <v>358</v>
      </c>
      <c r="E37" s="193" t="s">
        <v>359</v>
      </c>
    </row>
    <row r="38" ht="15.75" customHeight="1">
      <c r="B38" s="195"/>
      <c r="C38" s="195"/>
      <c r="D38" s="193" t="s">
        <v>360</v>
      </c>
      <c r="E38" s="193" t="s">
        <v>361</v>
      </c>
    </row>
    <row r="39" ht="15.75" customHeight="1">
      <c r="B39" s="195"/>
      <c r="C39" s="195"/>
      <c r="D39" s="193"/>
      <c r="E39" s="193"/>
    </row>
    <row r="40" ht="15.75" customHeight="1">
      <c r="B40" s="195"/>
      <c r="C40" s="195"/>
      <c r="D40" s="193"/>
      <c r="E40" s="193"/>
    </row>
    <row r="41" ht="15.75" customHeight="1">
      <c r="B41" s="195"/>
      <c r="C41" s="195"/>
      <c r="D41" s="193"/>
      <c r="E41" s="193"/>
    </row>
    <row r="42" ht="15.75" customHeight="1">
      <c r="B42" s="195"/>
      <c r="C42" s="195"/>
      <c r="D42" s="193"/>
      <c r="E42" s="193"/>
    </row>
    <row r="43" ht="15.75" customHeight="1">
      <c r="B43" s="195"/>
      <c r="C43" s="195"/>
      <c r="D43" s="193"/>
      <c r="E43" s="193"/>
    </row>
    <row r="44" ht="15.75" customHeight="1">
      <c r="B44" s="196"/>
      <c r="C44" s="196"/>
      <c r="D44" s="193"/>
      <c r="E44" s="193"/>
    </row>
    <row r="45" ht="15.75" customHeight="1">
      <c r="B45" s="191">
        <v>5.0</v>
      </c>
      <c r="C45" s="192" t="s">
        <v>196</v>
      </c>
      <c r="D45" s="193" t="s">
        <v>362</v>
      </c>
      <c r="E45" s="193" t="s">
        <v>363</v>
      </c>
    </row>
    <row r="46" ht="15.75" customHeight="1">
      <c r="B46" s="195"/>
      <c r="C46" s="195"/>
      <c r="D46" s="193" t="s">
        <v>364</v>
      </c>
      <c r="E46" s="193" t="s">
        <v>365</v>
      </c>
    </row>
    <row r="47" ht="15.75" customHeight="1">
      <c r="B47" s="195"/>
      <c r="C47" s="195"/>
      <c r="D47" s="193"/>
      <c r="E47" s="193" t="s">
        <v>361</v>
      </c>
    </row>
    <row r="48" ht="15.75" customHeight="1">
      <c r="B48" s="195"/>
      <c r="C48" s="195"/>
      <c r="D48" s="193"/>
      <c r="E48" s="193"/>
    </row>
    <row r="49" ht="15.75" customHeight="1">
      <c r="B49" s="195"/>
      <c r="C49" s="195"/>
      <c r="D49" s="193"/>
      <c r="E49" s="193"/>
    </row>
    <row r="50" ht="15.75" customHeight="1">
      <c r="B50" s="195"/>
      <c r="C50" s="195"/>
      <c r="D50" s="193"/>
      <c r="E50" s="193"/>
    </row>
    <row r="51" ht="15.75" customHeight="1">
      <c r="B51" s="195"/>
      <c r="C51" s="195"/>
      <c r="D51" s="193"/>
      <c r="E51" s="193"/>
    </row>
    <row r="52" ht="15.75" customHeight="1">
      <c r="B52" s="195"/>
      <c r="C52" s="195"/>
      <c r="D52" s="193"/>
      <c r="E52" s="193"/>
    </row>
    <row r="53" ht="15.75" customHeight="1">
      <c r="B53" s="195"/>
      <c r="C53" s="195"/>
      <c r="D53" s="193"/>
      <c r="E53" s="193"/>
    </row>
    <row r="54" ht="15.75" customHeight="1">
      <c r="B54" s="196"/>
      <c r="C54" s="196"/>
      <c r="D54" s="193"/>
      <c r="E54" s="193"/>
    </row>
    <row r="55" ht="15.75" customHeight="1">
      <c r="B55" s="198"/>
      <c r="C55" s="198"/>
      <c r="D55" s="198"/>
      <c r="E55" s="198"/>
    </row>
    <row r="56" ht="15.75" customHeight="1">
      <c r="B56" s="198"/>
      <c r="C56" s="198"/>
      <c r="D56" s="198"/>
      <c r="E56" s="198"/>
    </row>
    <row r="57" ht="15.75" customHeight="1">
      <c r="B57" s="198"/>
      <c r="C57" s="198"/>
      <c r="D57" s="198"/>
      <c r="E57" s="198"/>
    </row>
    <row r="58" ht="15.75" customHeight="1">
      <c r="B58" s="198"/>
      <c r="C58" s="198"/>
      <c r="D58" s="198"/>
      <c r="E58" s="198"/>
    </row>
    <row r="59" ht="15.75" customHeight="1">
      <c r="B59" s="198"/>
      <c r="C59" s="198"/>
      <c r="D59" s="198"/>
      <c r="E59" s="198"/>
    </row>
    <row r="60" ht="15.75" customHeight="1">
      <c r="B60" s="198"/>
      <c r="C60" s="198"/>
      <c r="D60" s="198"/>
      <c r="E60" s="198"/>
    </row>
    <row r="61" ht="15.75" customHeight="1">
      <c r="B61" s="198"/>
      <c r="C61" s="198"/>
      <c r="D61" s="198"/>
      <c r="E61" s="198"/>
    </row>
    <row r="62" ht="15.75" customHeight="1">
      <c r="B62" s="198"/>
      <c r="C62" s="198"/>
      <c r="D62" s="198"/>
      <c r="E62" s="198"/>
    </row>
    <row r="63" ht="15.75" customHeight="1">
      <c r="B63" s="198"/>
      <c r="C63" s="198"/>
      <c r="D63" s="198"/>
      <c r="E63" s="198"/>
    </row>
    <row r="64" ht="15.75" customHeight="1">
      <c r="B64" s="198"/>
      <c r="C64" s="198"/>
      <c r="D64" s="198"/>
      <c r="E64" s="198"/>
    </row>
    <row r="65" ht="15.75" customHeight="1">
      <c r="B65" s="198"/>
      <c r="C65" s="198"/>
      <c r="D65" s="198"/>
      <c r="E65" s="198"/>
    </row>
    <row r="66" ht="15.75" customHeight="1">
      <c r="B66" s="198"/>
      <c r="C66" s="198"/>
      <c r="D66" s="198"/>
      <c r="E66" s="198"/>
    </row>
    <row r="67" ht="15.75" customHeight="1">
      <c r="B67" s="198"/>
      <c r="C67" s="198"/>
      <c r="D67" s="198"/>
      <c r="E67" s="198"/>
    </row>
    <row r="68" ht="15.75" customHeight="1">
      <c r="B68" s="198"/>
      <c r="C68" s="198"/>
      <c r="D68" s="198"/>
      <c r="E68" s="198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