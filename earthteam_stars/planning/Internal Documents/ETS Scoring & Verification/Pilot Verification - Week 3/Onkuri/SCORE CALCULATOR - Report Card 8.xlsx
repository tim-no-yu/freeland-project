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<sst xmlns="http://schemas.openxmlformats.org/spreadsheetml/2006/main" count="605" uniqueCount="366">
  <si>
    <t>SCORE CALCULATOR</t>
  </si>
  <si>
    <t>Report Card 8 -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</si>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</sst>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aRdl4zexDe-nSR1aZ39iatqsHtOrbFM1XeInyxzjDQ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3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6</v>
      </c>
      <c r="F16" s="39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39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40</v>
      </c>
      <c r="C18" s="44" t="s">
        <v>41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42</v>
      </c>
      <c r="B19" s="49" t="s">
        <v>43</v>
      </c>
      <c r="C19" s="49" t="s">
        <v>44</v>
      </c>
      <c r="D19" s="33" t="s">
        <v>24</v>
      </c>
      <c r="E19" s="34">
        <f>if(D19="YES",5,0)</f>
        <v>5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45</v>
      </c>
      <c r="B20" s="50" t="s">
        <v>46</v>
      </c>
      <c r="C20" s="50" t="s">
        <v>47</v>
      </c>
      <c r="D20" s="51" t="s">
        <v>48</v>
      </c>
      <c r="E20" s="52">
        <f>SUM('DETAILED CALCULCATIONS'!G9+'DETAILED CALCULCATIONS'!G34+'DETAILED CALCULCATIONS'!G56+'DETAILED CALCULCATIONS'!G79+'DETAILED CALCULCATIONS'!G104)</f>
        <v>179000</v>
      </c>
      <c r="F20" s="53" t="s">
        <v>49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50</v>
      </c>
      <c r="B21" s="49" t="s">
        <v>51</v>
      </c>
      <c r="C21" s="49" t="s">
        <v>52</v>
      </c>
      <c r="D21" s="33" t="s">
        <v>24</v>
      </c>
      <c r="E21" s="34">
        <f t="shared" ref="E21:E23" si="1">if(D21="YES",5,0)</f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53</v>
      </c>
      <c r="B22" s="49" t="s">
        <v>54</v>
      </c>
      <c r="C22" s="49" t="s">
        <v>55</v>
      </c>
      <c r="D22" s="33" t="s">
        <v>24</v>
      </c>
      <c r="E22" s="34">
        <f t="shared" si="1"/>
        <v>5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49" t="s">
        <v>57</v>
      </c>
      <c r="C23" s="49" t="s">
        <v>58</v>
      </c>
      <c r="D23" s="33" t="s">
        <v>33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179015</v>
      </c>
      <c r="F24" s="39" t="s">
        <v>38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41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49" t="s">
        <v>61</v>
      </c>
      <c r="C26" s="49" t="s">
        <v>62</v>
      </c>
      <c r="D26" s="51" t="s">
        <v>48</v>
      </c>
      <c r="E26" s="52">
        <f>SUM('DETAILED CALCULCATIONS'!G16+'DETAILED CALCULCATIONS'!G40+'DETAILED CALCULCATIONS'!G64+'DETAILED CALCULCATIONS'!G89+'DETAILED CALCULCATIONS'!G111)</f>
        <v>0</v>
      </c>
      <c r="F26" s="53" t="s">
        <v>49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49" t="s">
        <v>64</v>
      </c>
      <c r="C27" s="49" t="s">
        <v>65</v>
      </c>
      <c r="D27" s="33" t="s">
        <v>24</v>
      </c>
      <c r="E27" s="34">
        <f t="shared" ref="E27:E31" si="2">if(D27="YES",5,0)</f>
        <v>5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49" t="s">
        <v>67</v>
      </c>
      <c r="C28" s="49" t="s">
        <v>68</v>
      </c>
      <c r="D28" s="33" t="s">
        <v>24</v>
      </c>
      <c r="E28" s="34">
        <f t="shared" si="2"/>
        <v>5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49" t="s">
        <v>70</v>
      </c>
      <c r="C29" s="49" t="s">
        <v>71</v>
      </c>
      <c r="D29" s="33" t="s">
        <v>24</v>
      </c>
      <c r="E29" s="34">
        <f t="shared" si="2"/>
        <v>5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49" t="s">
        <v>73</v>
      </c>
      <c r="C30" s="49" t="s">
        <v>74</v>
      </c>
      <c r="D30" s="33" t="s">
        <v>24</v>
      </c>
      <c r="E30" s="34">
        <f t="shared" si="2"/>
        <v>5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49" t="s">
        <v>76</v>
      </c>
      <c r="C31" s="49" t="s">
        <v>77</v>
      </c>
      <c r="D31" s="33" t="s">
        <v>33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20</v>
      </c>
      <c r="F32" s="39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79</v>
      </c>
      <c r="C34" s="60" t="s">
        <v>41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49" t="s">
        <v>81</v>
      </c>
      <c r="C35" s="49" t="s">
        <v>82</v>
      </c>
      <c r="D35" s="51" t="s">
        <v>48</v>
      </c>
      <c r="E35" s="52">
        <f>SUM('DETAILED CALCULCATIONS'!G21+'DETAILED CALCULCATIONS'!G46+'DETAILED CALCULCATIONS'!G69+'DETAILED CALCULCATIONS'!G96+'DETAILED CALCULCATIONS'!G118)</f>
        <v>0</v>
      </c>
      <c r="F35" s="53" t="s">
        <v>49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49" t="s">
        <v>84</v>
      </c>
      <c r="C36" s="54" t="s">
        <v>85</v>
      </c>
      <c r="D36" s="33" t="s">
        <v>24</v>
      </c>
      <c r="E36" s="34">
        <f t="shared" ref="E36:E38" si="3">if(D36="YES",5,0)</f>
        <v>5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49" t="s">
        <v>87</v>
      </c>
      <c r="C37" s="49" t="s">
        <v>88</v>
      </c>
      <c r="D37" s="33" t="s">
        <v>24</v>
      </c>
      <c r="E37" s="34">
        <f t="shared" si="3"/>
        <v>5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49" t="s">
        <v>90</v>
      </c>
      <c r="C38" s="49" t="s">
        <v>91</v>
      </c>
      <c r="D38" s="33" t="s">
        <v>33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10</v>
      </c>
      <c r="F39" s="39" t="s">
        <v>38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92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49" t="s">
        <v>95</v>
      </c>
      <c r="C42" s="49" t="s">
        <v>96</v>
      </c>
      <c r="D42" s="33" t="s">
        <v>24</v>
      </c>
      <c r="E42" s="34">
        <f t="shared" ref="E42:E44" si="4">if(D42="YES",5,0)</f>
        <v>5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49" t="s">
        <v>98</v>
      </c>
      <c r="C43" s="49" t="s">
        <v>99</v>
      </c>
      <c r="D43" s="33" t="s">
        <v>33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49" t="s">
        <v>101</v>
      </c>
      <c r="C44" s="54" t="s">
        <v>102</v>
      </c>
      <c r="D44" s="33" t="s">
        <v>33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5</v>
      </c>
      <c r="F45" s="69" t="s">
        <v>38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103</v>
      </c>
      <c r="B46" s="71"/>
      <c r="C46" s="71"/>
      <c r="D46" s="72"/>
      <c r="E46" s="73">
        <f>SUM(E16+E24+E32+E39+E45)</f>
        <v>179056</v>
      </c>
      <c r="F46" s="74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49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67q3tfpgj4q7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105</v>
      </c>
      <c r="D2" s="23" t="s">
        <v>106</v>
      </c>
      <c r="E2" s="79" t="s">
        <v>107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108</v>
      </c>
      <c r="C4" s="87" t="s">
        <v>109</v>
      </c>
      <c r="D4" s="88" t="s">
        <v>110</v>
      </c>
      <c r="E4" s="88" t="s">
        <v>111</v>
      </c>
      <c r="F4" s="88" t="s">
        <v>112</v>
      </c>
      <c r="G4" s="89" t="s">
        <v>113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114</v>
      </c>
      <c r="C5" s="91" t="s">
        <v>115</v>
      </c>
      <c r="D5" s="92">
        <v>0.0</v>
      </c>
      <c r="E5" s="93" t="s">
        <v>116</v>
      </c>
      <c r="F5" s="93">
        <v>10.0</v>
      </c>
      <c r="G5" s="94">
        <f t="shared" ref="G5:G8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117</v>
      </c>
      <c r="D6" s="92">
        <v>0.0</v>
      </c>
      <c r="E6" s="93" t="s">
        <v>118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119</v>
      </c>
      <c r="D7" s="92">
        <v>0.0</v>
      </c>
      <c r="E7" s="93" t="s">
        <v>116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>
      <c r="A8" s="76"/>
      <c r="B8" s="90"/>
      <c r="C8" s="91" t="s">
        <v>120</v>
      </c>
      <c r="D8" s="92">
        <v>0.0</v>
      </c>
      <c r="E8" s="93" t="s">
        <v>116</v>
      </c>
      <c r="F8" s="93">
        <v>10.0</v>
      </c>
      <c r="G8" s="94">
        <f t="shared" si="1"/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 ht="14.25" customHeight="1">
      <c r="A9" s="76"/>
      <c r="B9" s="96"/>
      <c r="C9" s="97"/>
      <c r="D9" s="97"/>
      <c r="E9" s="97"/>
      <c r="F9" s="97" t="s">
        <v>121</v>
      </c>
      <c r="G9" s="98">
        <f>SUM(G5:G8)</f>
        <v>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86" t="s">
        <v>122</v>
      </c>
      <c r="C10" s="87" t="s">
        <v>109</v>
      </c>
      <c r="D10" s="88" t="s">
        <v>110</v>
      </c>
      <c r="E10" s="88" t="s">
        <v>111</v>
      </c>
      <c r="F10" s="88" t="s">
        <v>112</v>
      </c>
      <c r="G10" s="89" t="s">
        <v>113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9" t="s">
        <v>123</v>
      </c>
      <c r="C11" s="100" t="s">
        <v>124</v>
      </c>
      <c r="D11" s="92">
        <v>0.0</v>
      </c>
      <c r="E11" s="93" t="s">
        <v>125</v>
      </c>
      <c r="F11" s="93">
        <v>10.0</v>
      </c>
      <c r="G11" s="94">
        <f t="shared" ref="G11:G15" si="2">D11*F11</f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126</v>
      </c>
      <c r="D12" s="92">
        <v>0.0</v>
      </c>
      <c r="E12" s="93" t="s">
        <v>125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127</v>
      </c>
      <c r="D13" s="92">
        <v>0.0</v>
      </c>
      <c r="E13" s="93" t="s">
        <v>125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128</v>
      </c>
      <c r="D14" s="92">
        <v>0.0</v>
      </c>
      <c r="E14" s="93" t="s">
        <v>125</v>
      </c>
      <c r="F14" s="93">
        <v>10.0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>
      <c r="A15" s="76"/>
      <c r="B15" s="95"/>
      <c r="C15" s="100" t="s">
        <v>129</v>
      </c>
      <c r="D15" s="92">
        <v>0.0</v>
      </c>
      <c r="E15" s="93" t="s">
        <v>130</v>
      </c>
      <c r="F15" s="93">
        <v>45.0</v>
      </c>
      <c r="G15" s="94">
        <f t="shared" si="2"/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 ht="17.25" customHeight="1">
      <c r="A16" s="76"/>
      <c r="B16" s="96"/>
      <c r="C16" s="97" t="s">
        <v>121</v>
      </c>
      <c r="G16" s="98">
        <f>SUM(G11:G15)</f>
        <v>0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86" t="s">
        <v>131</v>
      </c>
      <c r="C17" s="87" t="s">
        <v>109</v>
      </c>
      <c r="D17" s="88" t="s">
        <v>110</v>
      </c>
      <c r="E17" s="88" t="s">
        <v>111</v>
      </c>
      <c r="F17" s="88" t="s">
        <v>112</v>
      </c>
      <c r="G17" s="89" t="s">
        <v>113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0" t="s">
        <v>132</v>
      </c>
      <c r="C18" s="100" t="s">
        <v>133</v>
      </c>
      <c r="D18" s="92">
        <v>0.0</v>
      </c>
      <c r="E18" s="93" t="s">
        <v>125</v>
      </c>
      <c r="F18" s="93">
        <v>15.0</v>
      </c>
      <c r="G18" s="94">
        <f t="shared" ref="G18:G20" si="3">D18*F18</f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100" t="s">
        <v>134</v>
      </c>
      <c r="D19" s="92">
        <v>0.0</v>
      </c>
      <c r="E19" s="93" t="s">
        <v>125</v>
      </c>
      <c r="F19" s="93">
        <v>15.0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95"/>
      <c r="C20" s="91" t="s">
        <v>135</v>
      </c>
      <c r="D20" s="92">
        <v>0.0</v>
      </c>
      <c r="E20" s="93" t="s">
        <v>130</v>
      </c>
      <c r="F20" s="93">
        <v>200.0</v>
      </c>
      <c r="G20" s="94">
        <f t="shared" si="3"/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1"/>
      <c r="C21" s="102" t="s">
        <v>121</v>
      </c>
      <c r="D21" s="103"/>
      <c r="E21" s="103"/>
      <c r="F21" s="103"/>
      <c r="G21" s="104">
        <f>SUM(G18:G20)</f>
        <v>0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5"/>
      <c r="C22" s="78"/>
      <c r="D22" s="106"/>
      <c r="E22" s="107"/>
      <c r="F22" s="107"/>
      <c r="G22" s="10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>
      <c r="A23" s="76"/>
      <c r="B23" s="108" t="s">
        <v>6</v>
      </c>
      <c r="C23" s="80"/>
      <c r="D23" s="109"/>
      <c r="E23" s="110"/>
      <c r="F23" s="110"/>
      <c r="G23" s="111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 hidden="1">
      <c r="A24" s="76"/>
      <c r="B24" s="112"/>
      <c r="C24" s="78"/>
      <c r="D24" s="106"/>
      <c r="E24" s="107"/>
      <c r="F24" s="107"/>
      <c r="G24" s="113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  <c r="AB24" s="78"/>
    </row>
    <row r="25">
      <c r="A25" s="76"/>
      <c r="B25" s="86" t="s">
        <v>108</v>
      </c>
      <c r="C25" s="87" t="s">
        <v>109</v>
      </c>
      <c r="D25" s="88" t="s">
        <v>110</v>
      </c>
      <c r="E25" s="88" t="s">
        <v>111</v>
      </c>
      <c r="F25" s="88" t="s">
        <v>112</v>
      </c>
      <c r="G25" s="89" t="s">
        <v>113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</row>
    <row r="26">
      <c r="A26" s="76"/>
      <c r="B26" s="90" t="s">
        <v>136</v>
      </c>
      <c r="C26" s="91" t="s">
        <v>137</v>
      </c>
      <c r="D26" s="92">
        <v>0.0</v>
      </c>
      <c r="E26" s="93" t="s">
        <v>116</v>
      </c>
      <c r="F26" s="93">
        <v>10.0</v>
      </c>
      <c r="G26" s="94">
        <f t="shared" ref="G26:G33" si="4">D26*F26</f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138</v>
      </c>
      <c r="D27" s="92">
        <v>0.0</v>
      </c>
      <c r="E27" s="93" t="s">
        <v>116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139</v>
      </c>
      <c r="D28" s="92">
        <v>0.0</v>
      </c>
      <c r="E28" s="93" t="s">
        <v>116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140</v>
      </c>
      <c r="D29" s="92">
        <v>0.0</v>
      </c>
      <c r="E29" s="93" t="s">
        <v>116</v>
      </c>
      <c r="F29" s="93">
        <v>1.0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141</v>
      </c>
      <c r="D30" s="92">
        <v>0.0</v>
      </c>
      <c r="E30" s="93" t="s">
        <v>116</v>
      </c>
      <c r="F30" s="93">
        <v>10.0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142</v>
      </c>
      <c r="D31" s="92">
        <v>0.0</v>
      </c>
      <c r="E31" s="93" t="s">
        <v>116</v>
      </c>
      <c r="F31" s="93">
        <v>5.0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143</v>
      </c>
      <c r="D32" s="92">
        <v>0.0</v>
      </c>
      <c r="E32" s="93" t="s">
        <v>116</v>
      </c>
      <c r="F32" s="93">
        <v>10.0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>
      <c r="A33" s="76"/>
      <c r="B33" s="95"/>
      <c r="C33" s="91" t="s">
        <v>144</v>
      </c>
      <c r="D33" s="92">
        <v>0.0</v>
      </c>
      <c r="E33" s="93" t="s">
        <v>116</v>
      </c>
      <c r="F33" s="93">
        <v>25.0</v>
      </c>
      <c r="G33" s="94">
        <f t="shared" si="4"/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 ht="15.75" customHeight="1">
      <c r="A34" s="76"/>
      <c r="B34" s="96"/>
      <c r="C34" s="97" t="s">
        <v>121</v>
      </c>
      <c r="G34" s="98">
        <f>SUM(G26:G33)</f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>
      <c r="A35" s="76"/>
      <c r="B35" s="86" t="s">
        <v>122</v>
      </c>
      <c r="C35" s="87" t="s">
        <v>109</v>
      </c>
      <c r="D35" s="88" t="s">
        <v>110</v>
      </c>
      <c r="E35" s="88" t="s">
        <v>111</v>
      </c>
      <c r="F35" s="88" t="s">
        <v>112</v>
      </c>
      <c r="G35" s="89" t="s">
        <v>113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9" t="s">
        <v>145</v>
      </c>
      <c r="C36" s="100" t="s">
        <v>146</v>
      </c>
      <c r="D36" s="92">
        <v>0.0</v>
      </c>
      <c r="E36" s="93" t="s">
        <v>125</v>
      </c>
      <c r="F36" s="93">
        <v>10.0</v>
      </c>
      <c r="G36" s="94">
        <f t="shared" ref="G36:G39" si="5">D36*F36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147</v>
      </c>
      <c r="D37" s="92">
        <v>0.0</v>
      </c>
      <c r="E37" s="93" t="s">
        <v>125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148</v>
      </c>
      <c r="D38" s="92">
        <v>0.0</v>
      </c>
      <c r="E38" s="93" t="s">
        <v>125</v>
      </c>
      <c r="F38" s="93">
        <v>10.0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8.75" customHeight="1">
      <c r="A39" s="76"/>
      <c r="B39" s="95"/>
      <c r="C39" s="100" t="s">
        <v>149</v>
      </c>
      <c r="D39" s="92">
        <v>0.0</v>
      </c>
      <c r="E39" s="93" t="s">
        <v>130</v>
      </c>
      <c r="F39" s="93">
        <v>45.0</v>
      </c>
      <c r="G39" s="94">
        <f t="shared" si="5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 ht="15.0" customHeight="1">
      <c r="A40" s="76"/>
      <c r="B40" s="96"/>
      <c r="C40" s="97" t="s">
        <v>121</v>
      </c>
      <c r="G40" s="98">
        <f>SUM(G36:G39)</f>
        <v>0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86" t="s">
        <v>131</v>
      </c>
      <c r="C41" s="87" t="s">
        <v>109</v>
      </c>
      <c r="D41" s="88" t="s">
        <v>110</v>
      </c>
      <c r="E41" s="88" t="s">
        <v>111</v>
      </c>
      <c r="F41" s="88" t="s">
        <v>112</v>
      </c>
      <c r="G41" s="89" t="s">
        <v>113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0" t="s">
        <v>150</v>
      </c>
      <c r="C42" s="100" t="s">
        <v>151</v>
      </c>
      <c r="D42" s="92">
        <v>0.0</v>
      </c>
      <c r="E42" s="93" t="s">
        <v>125</v>
      </c>
      <c r="F42" s="93">
        <v>15.0</v>
      </c>
      <c r="G42" s="94">
        <f t="shared" ref="G42:G45" si="6">D42*F42</f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152</v>
      </c>
      <c r="D43" s="92">
        <v>0.0</v>
      </c>
      <c r="E43" s="93" t="s">
        <v>125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153</v>
      </c>
      <c r="D44" s="92">
        <v>0.0</v>
      </c>
      <c r="E44" s="93" t="s">
        <v>125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95"/>
      <c r="C45" s="100" t="s">
        <v>154</v>
      </c>
      <c r="D45" s="92">
        <v>0.0</v>
      </c>
      <c r="E45" s="93" t="s">
        <v>125</v>
      </c>
      <c r="F45" s="93">
        <v>15.0</v>
      </c>
      <c r="G45" s="94">
        <f t="shared" si="6"/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101"/>
      <c r="C46" s="102" t="s">
        <v>121</v>
      </c>
      <c r="D46" s="103"/>
      <c r="E46" s="103"/>
      <c r="F46" s="103"/>
      <c r="G46" s="104">
        <f>SUM(G42:G45)</f>
        <v>0</v>
      </c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78"/>
      <c r="C47" s="78"/>
      <c r="D47" s="78"/>
      <c r="E47" s="107"/>
      <c r="F47" s="107"/>
      <c r="G47" s="10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114" t="s">
        <v>8</v>
      </c>
      <c r="C48" s="80"/>
      <c r="D48" s="115"/>
      <c r="E48" s="110"/>
      <c r="F48" s="110"/>
      <c r="G48" s="111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86" t="s">
        <v>108</v>
      </c>
      <c r="C49" s="87" t="s">
        <v>109</v>
      </c>
      <c r="D49" s="88" t="s">
        <v>110</v>
      </c>
      <c r="E49" s="88" t="s">
        <v>111</v>
      </c>
      <c r="F49" s="88" t="s">
        <v>112</v>
      </c>
      <c r="G49" s="89" t="s">
        <v>113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0" t="s">
        <v>155</v>
      </c>
      <c r="C50" s="91" t="s">
        <v>156</v>
      </c>
      <c r="D50" s="92">
        <v>0.0</v>
      </c>
      <c r="E50" s="93" t="s">
        <v>116</v>
      </c>
      <c r="F50" s="93">
        <v>1.0</v>
      </c>
      <c r="G50" s="94">
        <f t="shared" ref="G50:G55" si="7">D50*F50</f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116" t="s">
        <v>157</v>
      </c>
      <c r="D51" s="92">
        <v>0.0</v>
      </c>
      <c r="E51" s="93" t="s">
        <v>116</v>
      </c>
      <c r="F51" s="93">
        <v>1.0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91" t="s">
        <v>158</v>
      </c>
      <c r="D52" s="92">
        <v>0.0</v>
      </c>
      <c r="E52" s="93" t="s">
        <v>116</v>
      </c>
      <c r="F52" s="93">
        <v>10.0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159</v>
      </c>
      <c r="D53" s="92">
        <v>0.0</v>
      </c>
      <c r="E53" s="93" t="s">
        <v>116</v>
      </c>
      <c r="F53" s="93">
        <v>25.0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17" t="s">
        <v>160</v>
      </c>
      <c r="D54" s="92">
        <v>0.0</v>
      </c>
      <c r="E54" s="93" t="s">
        <v>116</v>
      </c>
      <c r="F54" s="93">
        <v>50.0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5"/>
      <c r="C55" s="100" t="s">
        <v>161</v>
      </c>
      <c r="D55" s="92">
        <v>0.0</v>
      </c>
      <c r="E55" s="93" t="s">
        <v>116</v>
      </c>
      <c r="F55" s="93">
        <v>0.2</v>
      </c>
      <c r="G55" s="94">
        <f t="shared" si="7"/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96"/>
      <c r="C56" s="97" t="s">
        <v>121</v>
      </c>
      <c r="G56" s="98">
        <f>SUM(G50:G55)</f>
        <v>0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78"/>
    </row>
    <row r="57">
      <c r="A57" s="76"/>
      <c r="B57" s="86" t="s">
        <v>122</v>
      </c>
      <c r="C57" s="87" t="s">
        <v>109</v>
      </c>
      <c r="D57" s="88" t="s">
        <v>110</v>
      </c>
      <c r="E57" s="88" t="s">
        <v>111</v>
      </c>
      <c r="F57" s="88" t="s">
        <v>112</v>
      </c>
      <c r="G57" s="89" t="s">
        <v>113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9" t="s">
        <v>162</v>
      </c>
      <c r="C58" s="100" t="s">
        <v>163</v>
      </c>
      <c r="D58" s="92">
        <v>0.0</v>
      </c>
      <c r="E58" s="93" t="s">
        <v>125</v>
      </c>
      <c r="F58" s="93">
        <v>10.0</v>
      </c>
      <c r="G58" s="94">
        <f t="shared" ref="G58:G63" si="8">D58*F58</f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164</v>
      </c>
      <c r="D59" s="92">
        <v>0.0</v>
      </c>
      <c r="E59" s="93" t="s">
        <v>125</v>
      </c>
      <c r="F59" s="93">
        <v>10.0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165</v>
      </c>
      <c r="D60" s="92">
        <v>0.0</v>
      </c>
      <c r="E60" s="93" t="s">
        <v>130</v>
      </c>
      <c r="F60" s="93">
        <v>100.0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166</v>
      </c>
      <c r="D61" s="92">
        <v>0.0</v>
      </c>
      <c r="E61" s="93" t="s">
        <v>125</v>
      </c>
      <c r="F61" s="93">
        <v>10.0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167</v>
      </c>
      <c r="D62" s="92">
        <v>0.0</v>
      </c>
      <c r="E62" s="93" t="s">
        <v>130</v>
      </c>
      <c r="F62" s="93">
        <v>100.0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5"/>
      <c r="C63" s="100" t="s">
        <v>168</v>
      </c>
      <c r="D63" s="92">
        <v>0.0</v>
      </c>
      <c r="E63" s="93" t="s">
        <v>116</v>
      </c>
      <c r="F63" s="93">
        <v>150.0</v>
      </c>
      <c r="G63" s="94">
        <f t="shared" si="8"/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96"/>
      <c r="C64" s="97" t="s">
        <v>121</v>
      </c>
      <c r="G64" s="98">
        <f>SUM(G58:G63)</f>
        <v>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86" t="s">
        <v>131</v>
      </c>
      <c r="C65" s="87" t="s">
        <v>109</v>
      </c>
      <c r="D65" s="88" t="s">
        <v>110</v>
      </c>
      <c r="E65" s="88" t="s">
        <v>111</v>
      </c>
      <c r="F65" s="88" t="s">
        <v>112</v>
      </c>
      <c r="G65" s="89" t="s">
        <v>113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0" t="s">
        <v>169</v>
      </c>
      <c r="C66" s="100" t="s">
        <v>170</v>
      </c>
      <c r="D66" s="92">
        <v>0.0</v>
      </c>
      <c r="E66" s="93" t="s">
        <v>130</v>
      </c>
      <c r="F66" s="93">
        <v>200.0</v>
      </c>
      <c r="G66" s="94">
        <f t="shared" ref="G66:G68" si="9">D66*F66</f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171</v>
      </c>
      <c r="D67" s="92">
        <v>0.0</v>
      </c>
      <c r="E67" s="93" t="s">
        <v>130</v>
      </c>
      <c r="F67" s="93">
        <v>500.0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95"/>
      <c r="C68" s="100" t="s">
        <v>172</v>
      </c>
      <c r="D68" s="92">
        <v>0.0</v>
      </c>
      <c r="E68" s="93" t="s">
        <v>125</v>
      </c>
      <c r="F68" s="93">
        <v>15.0</v>
      </c>
      <c r="G68" s="94">
        <f t="shared" si="9"/>
        <v>0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101"/>
      <c r="C69" s="102" t="s">
        <v>121</v>
      </c>
      <c r="D69" s="103"/>
      <c r="E69" s="103"/>
      <c r="F69" s="103"/>
      <c r="G69" s="104">
        <f>SUM(G66:G68)</f>
        <v>0</v>
      </c>
      <c r="H69" s="11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78"/>
      <c r="C70" s="78"/>
      <c r="D70" s="106"/>
      <c r="E70" s="107"/>
      <c r="F70" s="107"/>
      <c r="G70" s="107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19" t="s">
        <v>173</v>
      </c>
      <c r="C71" s="80"/>
      <c r="D71" s="120"/>
      <c r="E71" s="120"/>
      <c r="F71" s="120"/>
      <c r="G71" s="121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2" t="s">
        <v>108</v>
      </c>
      <c r="C72" s="123" t="s">
        <v>109</v>
      </c>
      <c r="D72" s="124" t="s">
        <v>110</v>
      </c>
      <c r="E72" s="124" t="s">
        <v>111</v>
      </c>
      <c r="F72" s="124" t="s">
        <v>112</v>
      </c>
      <c r="G72" s="125" t="s">
        <v>113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126" t="s">
        <v>174</v>
      </c>
      <c r="C73" s="127" t="s">
        <v>175</v>
      </c>
      <c r="D73" s="128">
        <v>9000.0</v>
      </c>
      <c r="E73" s="129" t="s">
        <v>116</v>
      </c>
      <c r="F73" s="130">
        <v>1.0</v>
      </c>
      <c r="G73" s="131">
        <f t="shared" ref="G73:G77" si="10">D73*F73</f>
        <v>9000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176</v>
      </c>
      <c r="D74" s="128">
        <v>0.0</v>
      </c>
      <c r="E74" s="129" t="s">
        <v>116</v>
      </c>
      <c r="F74" s="130">
        <v>10.0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177</v>
      </c>
      <c r="D75" s="132">
        <v>0.0</v>
      </c>
      <c r="E75" s="129" t="s">
        <v>125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178</v>
      </c>
      <c r="D76" s="132">
        <v>0.0</v>
      </c>
      <c r="E76" s="129" t="s">
        <v>116</v>
      </c>
      <c r="F76" s="130">
        <v>1.0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95"/>
      <c r="C77" s="127" t="s">
        <v>179</v>
      </c>
      <c r="D77" s="132">
        <v>0.0</v>
      </c>
      <c r="E77" s="129" t="s">
        <v>130</v>
      </c>
      <c r="F77" s="130">
        <v>10.0</v>
      </c>
      <c r="G77" s="131">
        <f t="shared" si="10"/>
        <v>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95"/>
      <c r="C78" s="133" t="s">
        <v>180</v>
      </c>
      <c r="D78" s="128">
        <v>17000.0</v>
      </c>
      <c r="E78" s="129" t="s">
        <v>116</v>
      </c>
      <c r="F78" s="134">
        <v>1.0</v>
      </c>
      <c r="G78" s="131">
        <f>D78*F77</f>
        <v>170000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35"/>
      <c r="C79" s="136" t="s">
        <v>121</v>
      </c>
      <c r="G79" s="137">
        <f>SUM(G73:G78)</f>
        <v>179000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122" t="s">
        <v>122</v>
      </c>
      <c r="C80" s="123" t="s">
        <v>109</v>
      </c>
      <c r="D80" s="124" t="s">
        <v>110</v>
      </c>
      <c r="E80" s="124" t="s">
        <v>111</v>
      </c>
      <c r="F80" s="124" t="s">
        <v>112</v>
      </c>
      <c r="G80" s="125" t="s">
        <v>113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126" t="s">
        <v>181</v>
      </c>
      <c r="C81" s="138" t="s">
        <v>182</v>
      </c>
      <c r="D81" s="132">
        <v>0.0</v>
      </c>
      <c r="E81" s="129" t="s">
        <v>125</v>
      </c>
      <c r="F81" s="130">
        <v>10.0</v>
      </c>
      <c r="G81" s="131">
        <f t="shared" ref="G81:G88" si="11">D81*F81</f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8" t="s">
        <v>183</v>
      </c>
      <c r="D82" s="132">
        <v>0.0</v>
      </c>
      <c r="E82" s="129" t="s">
        <v>125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8" t="s">
        <v>184</v>
      </c>
      <c r="D83" s="132">
        <v>0.0</v>
      </c>
      <c r="E83" s="129" t="s">
        <v>125</v>
      </c>
      <c r="F83" s="130">
        <v>10.0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8" t="s">
        <v>185</v>
      </c>
      <c r="D84" s="132">
        <v>0.0</v>
      </c>
      <c r="E84" s="129" t="s">
        <v>125</v>
      </c>
      <c r="F84" s="130">
        <v>10.0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8" t="s">
        <v>186</v>
      </c>
      <c r="D85" s="132">
        <v>0.0</v>
      </c>
      <c r="E85" s="129" t="s">
        <v>125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95"/>
      <c r="C86" s="138" t="s">
        <v>187</v>
      </c>
      <c r="D86" s="132">
        <v>0.0</v>
      </c>
      <c r="E86" s="129" t="s">
        <v>130</v>
      </c>
      <c r="F86" s="130">
        <v>45.0</v>
      </c>
      <c r="G86" s="131">
        <f t="shared" si="11"/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95"/>
      <c r="C87" s="138" t="s">
        <v>188</v>
      </c>
      <c r="D87" s="132">
        <v>0.0</v>
      </c>
      <c r="E87" s="129" t="s">
        <v>116</v>
      </c>
      <c r="F87" s="130">
        <v>5.0</v>
      </c>
      <c r="G87" s="131">
        <f t="shared" si="11"/>
        <v>0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6"/>
      <c r="B88" s="95"/>
      <c r="C88" s="138" t="s">
        <v>189</v>
      </c>
      <c r="D88" s="132">
        <v>0.0</v>
      </c>
      <c r="E88" s="129" t="s">
        <v>125</v>
      </c>
      <c r="F88" s="130">
        <v>10.0</v>
      </c>
      <c r="G88" s="131">
        <f t="shared" si="11"/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6"/>
      <c r="B89" s="135"/>
      <c r="C89" s="136" t="s">
        <v>121</v>
      </c>
      <c r="G89" s="137">
        <f>SUM(G81:G88)</f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6"/>
      <c r="B90" s="122" t="s">
        <v>131</v>
      </c>
      <c r="C90" s="123" t="s">
        <v>109</v>
      </c>
      <c r="D90" s="124" t="s">
        <v>110</v>
      </c>
      <c r="E90" s="124" t="s">
        <v>111</v>
      </c>
      <c r="F90" s="124" t="s">
        <v>112</v>
      </c>
      <c r="G90" s="125" t="s">
        <v>113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126" t="s">
        <v>190</v>
      </c>
      <c r="C91" s="138" t="s">
        <v>191</v>
      </c>
      <c r="D91" s="132">
        <v>0.0</v>
      </c>
      <c r="E91" s="129" t="s">
        <v>125</v>
      </c>
      <c r="F91" s="130">
        <v>15.0</v>
      </c>
      <c r="G91" s="131">
        <f t="shared" ref="G91:G95" si="12">D91*F91</f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8" t="s">
        <v>192</v>
      </c>
      <c r="D92" s="132">
        <v>0.0</v>
      </c>
      <c r="E92" s="129" t="s">
        <v>125</v>
      </c>
      <c r="F92" s="130">
        <v>15.0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95"/>
      <c r="C93" s="138" t="s">
        <v>193</v>
      </c>
      <c r="D93" s="132">
        <v>0.0</v>
      </c>
      <c r="E93" s="129" t="s">
        <v>130</v>
      </c>
      <c r="F93" s="130">
        <v>200.0</v>
      </c>
      <c r="G93" s="131">
        <f t="shared" si="12"/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95"/>
      <c r="C94" s="138" t="s">
        <v>194</v>
      </c>
      <c r="D94" s="132">
        <v>0.0</v>
      </c>
      <c r="E94" s="129" t="s">
        <v>125</v>
      </c>
      <c r="F94" s="130">
        <v>15.0</v>
      </c>
      <c r="G94" s="131">
        <f t="shared" si="12"/>
        <v>0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95"/>
      <c r="C95" s="138" t="s">
        <v>195</v>
      </c>
      <c r="D95" s="132">
        <v>0.0</v>
      </c>
      <c r="E95" s="129" t="s">
        <v>130</v>
      </c>
      <c r="F95" s="130">
        <v>100.0</v>
      </c>
      <c r="G95" s="131">
        <f t="shared" si="12"/>
        <v>0</v>
      </c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39"/>
      <c r="C96" s="140" t="s">
        <v>121</v>
      </c>
      <c r="D96" s="103"/>
      <c r="E96" s="103"/>
      <c r="F96" s="103"/>
      <c r="G96" s="141">
        <f>SUM(G91:G95)</f>
        <v>0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42"/>
      <c r="C97" s="142"/>
      <c r="D97" s="142"/>
      <c r="E97" s="142"/>
      <c r="F97" s="142"/>
      <c r="G97" s="142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143" t="s">
        <v>196</v>
      </c>
      <c r="C98" s="80"/>
      <c r="D98" s="120"/>
      <c r="E98" s="120"/>
      <c r="F98" s="120"/>
      <c r="G98" s="121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122" t="s">
        <v>108</v>
      </c>
      <c r="C99" s="123" t="s">
        <v>109</v>
      </c>
      <c r="D99" s="124" t="s">
        <v>110</v>
      </c>
      <c r="E99" s="124" t="s">
        <v>111</v>
      </c>
      <c r="F99" s="124" t="s">
        <v>112</v>
      </c>
      <c r="G99" s="125" t="s">
        <v>113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126" t="s">
        <v>136</v>
      </c>
      <c r="C100" s="127" t="s">
        <v>197</v>
      </c>
      <c r="D100" s="132">
        <v>0.0</v>
      </c>
      <c r="E100" s="129" t="s">
        <v>116</v>
      </c>
      <c r="F100" s="130">
        <v>2.0</v>
      </c>
      <c r="G100" s="131">
        <f t="shared" ref="G100:G103" si="13">D100*F100</f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95"/>
      <c r="C101" s="127" t="s">
        <v>198</v>
      </c>
      <c r="D101" s="132">
        <v>0.0</v>
      </c>
      <c r="E101" s="129" t="s">
        <v>130</v>
      </c>
      <c r="F101" s="130">
        <v>25.0</v>
      </c>
      <c r="G101" s="131">
        <f t="shared" si="13"/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95"/>
      <c r="C102" s="127" t="s">
        <v>199</v>
      </c>
      <c r="D102" s="132">
        <v>0.0</v>
      </c>
      <c r="E102" s="129" t="s">
        <v>116</v>
      </c>
      <c r="F102" s="130">
        <v>1.0</v>
      </c>
      <c r="G102" s="131">
        <f t="shared" si="13"/>
        <v>0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95"/>
      <c r="C103" s="127" t="s">
        <v>200</v>
      </c>
      <c r="D103" s="132">
        <v>0.0</v>
      </c>
      <c r="E103" s="129" t="s">
        <v>130</v>
      </c>
      <c r="F103" s="130">
        <v>15.0</v>
      </c>
      <c r="G103" s="131">
        <f t="shared" si="13"/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135"/>
      <c r="C104" s="136" t="s">
        <v>121</v>
      </c>
      <c r="G104" s="137">
        <f>SUM(G100:G103)</f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122" t="s">
        <v>122</v>
      </c>
      <c r="C105" s="123" t="s">
        <v>109</v>
      </c>
      <c r="D105" s="124" t="s">
        <v>110</v>
      </c>
      <c r="E105" s="124" t="s">
        <v>111</v>
      </c>
      <c r="F105" s="124" t="s">
        <v>112</v>
      </c>
      <c r="G105" s="125" t="s">
        <v>113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126" t="s">
        <v>201</v>
      </c>
      <c r="C106" s="138" t="s">
        <v>202</v>
      </c>
      <c r="D106" s="132">
        <v>0.0</v>
      </c>
      <c r="E106" s="129" t="s">
        <v>125</v>
      </c>
      <c r="F106" s="130">
        <v>10.0</v>
      </c>
      <c r="G106" s="131">
        <f t="shared" ref="G106:G110" si="14">D106*F106</f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8" t="s">
        <v>203</v>
      </c>
      <c r="D107" s="132">
        <v>0.0</v>
      </c>
      <c r="E107" s="129" t="s">
        <v>125</v>
      </c>
      <c r="F107" s="130">
        <v>10.0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95"/>
      <c r="C108" s="138" t="s">
        <v>204</v>
      </c>
      <c r="D108" s="132">
        <v>0.0</v>
      </c>
      <c r="E108" s="129" t="s">
        <v>125</v>
      </c>
      <c r="F108" s="130">
        <v>10.0</v>
      </c>
      <c r="G108" s="131">
        <f t="shared" si="14"/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95"/>
      <c r="C109" s="138" t="s">
        <v>205</v>
      </c>
      <c r="D109" s="132">
        <v>0.0</v>
      </c>
      <c r="E109" s="129" t="s">
        <v>116</v>
      </c>
      <c r="F109" s="130">
        <v>10.0</v>
      </c>
      <c r="G109" s="131">
        <f t="shared" si="14"/>
        <v>0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95"/>
      <c r="C110" s="138" t="s">
        <v>206</v>
      </c>
      <c r="D110" s="132">
        <v>0.0</v>
      </c>
      <c r="E110" s="129" t="s">
        <v>130</v>
      </c>
      <c r="F110" s="130">
        <v>45.0</v>
      </c>
      <c r="G110" s="131">
        <f t="shared" si="14"/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135"/>
      <c r="C111" s="136" t="s">
        <v>121</v>
      </c>
      <c r="G111" s="137">
        <f>SUM(G106:G110)</f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122" t="s">
        <v>131</v>
      </c>
      <c r="C112" s="123" t="s">
        <v>109</v>
      </c>
      <c r="D112" s="124" t="s">
        <v>110</v>
      </c>
      <c r="E112" s="124" t="s">
        <v>111</v>
      </c>
      <c r="F112" s="124" t="s">
        <v>112</v>
      </c>
      <c r="G112" s="125" t="s">
        <v>113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126" t="s">
        <v>207</v>
      </c>
      <c r="C113" s="138" t="s">
        <v>208</v>
      </c>
      <c r="D113" s="132">
        <v>0.0</v>
      </c>
      <c r="E113" s="129" t="s">
        <v>125</v>
      </c>
      <c r="F113" s="130">
        <v>15.0</v>
      </c>
      <c r="G113" s="131">
        <f t="shared" ref="G113:G117" si="15">D113*F113</f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8" t="s">
        <v>209</v>
      </c>
      <c r="D114" s="132">
        <v>0.0</v>
      </c>
      <c r="E114" s="129" t="s">
        <v>125</v>
      </c>
      <c r="F114" s="130">
        <v>15.0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95"/>
      <c r="C115" s="138" t="s">
        <v>210</v>
      </c>
      <c r="D115" s="132">
        <v>0.0</v>
      </c>
      <c r="E115" s="129" t="s">
        <v>125</v>
      </c>
      <c r="F115" s="130">
        <v>50.0</v>
      </c>
      <c r="G115" s="131">
        <f t="shared" si="15"/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95"/>
      <c r="C116" s="138" t="s">
        <v>211</v>
      </c>
      <c r="D116" s="132">
        <v>0.0</v>
      </c>
      <c r="E116" s="129" t="s">
        <v>125</v>
      </c>
      <c r="F116" s="130">
        <v>50.0</v>
      </c>
      <c r="G116" s="131">
        <f t="shared" si="15"/>
        <v>0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95"/>
      <c r="C117" s="138" t="s">
        <v>212</v>
      </c>
      <c r="D117" s="132">
        <v>0.0</v>
      </c>
      <c r="E117" s="129" t="s">
        <v>130</v>
      </c>
      <c r="F117" s="130">
        <v>250.0</v>
      </c>
      <c r="G117" s="131">
        <f t="shared" si="15"/>
        <v>0</v>
      </c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139"/>
      <c r="C118" s="140" t="s">
        <v>121</v>
      </c>
      <c r="D118" s="103"/>
      <c r="E118" s="103"/>
      <c r="F118" s="103"/>
      <c r="G118" s="141">
        <f>SUM(G113:G117)</f>
        <v>0</v>
      </c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  <row r="979">
      <c r="A979" s="78"/>
      <c r="B979" s="78"/>
      <c r="C979" s="78"/>
      <c r="D979" s="106"/>
      <c r="E979" s="107"/>
      <c r="F979" s="107"/>
      <c r="G979" s="107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</row>
    <row r="980">
      <c r="A980" s="78"/>
      <c r="B980" s="78"/>
      <c r="C980" s="78"/>
      <c r="D980" s="106"/>
      <c r="E980" s="107"/>
      <c r="F980" s="107"/>
      <c r="G980" s="107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</row>
    <row r="981">
      <c r="A981" s="78"/>
      <c r="B981" s="78"/>
      <c r="C981" s="78"/>
      <c r="D981" s="106"/>
      <c r="E981" s="107"/>
      <c r="F981" s="107"/>
      <c r="G981" s="107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144" t="s">
        <v>213</v>
      </c>
    </row>
    <row r="3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5" t="s">
        <v>214</v>
      </c>
      <c r="B4" s="146" t="s">
        <v>215</v>
      </c>
      <c r="C4" s="147" t="s">
        <v>216</v>
      </c>
      <c r="D4" s="147" t="s">
        <v>217</v>
      </c>
      <c r="E4" s="148" t="s">
        <v>218</v>
      </c>
      <c r="F4" s="148" t="s">
        <v>219</v>
      </c>
      <c r="G4" s="148" t="s">
        <v>220</v>
      </c>
      <c r="H4" s="148" t="s">
        <v>221</v>
      </c>
      <c r="I4" s="148" t="s">
        <v>196</v>
      </c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>
      <c r="A5" s="150">
        <v>1.0</v>
      </c>
      <c r="B5" s="150" t="s">
        <v>39</v>
      </c>
      <c r="C5" s="151">
        <v>16.0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>
      <c r="A6" s="149"/>
      <c r="B6" s="154" t="s">
        <v>222</v>
      </c>
      <c r="C6" s="155"/>
      <c r="D6" s="156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>
      <c r="A7" s="149"/>
      <c r="B7" s="157" t="s">
        <v>223</v>
      </c>
      <c r="C7" s="155" t="b">
        <v>0</v>
      </c>
      <c r="D7" s="158">
        <v>1.0</v>
      </c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>
      <c r="A8" s="149"/>
      <c r="B8" s="157" t="s">
        <v>224</v>
      </c>
      <c r="C8" s="155" t="b">
        <v>0</v>
      </c>
      <c r="D8" s="158">
        <v>5.0</v>
      </c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>
      <c r="A9" s="149"/>
      <c r="B9" s="157" t="s">
        <v>225</v>
      </c>
      <c r="C9" s="155" t="b">
        <v>0</v>
      </c>
      <c r="D9" s="158">
        <v>5.0</v>
      </c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>
      <c r="A10" s="149"/>
      <c r="B10" s="157" t="s">
        <v>226</v>
      </c>
      <c r="C10" s="155" t="b">
        <v>0</v>
      </c>
      <c r="D10" s="158">
        <v>5.0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>
      <c r="A11" s="149"/>
      <c r="B11" s="149"/>
      <c r="C11" s="155"/>
      <c r="D11" s="156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>
      <c r="A12" s="159">
        <v>2.0</v>
      </c>
      <c r="B12" s="159" t="s">
        <v>227</v>
      </c>
      <c r="C12" s="160">
        <v>110.0</v>
      </c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>
      <c r="A13" s="149"/>
      <c r="B13" s="163" t="s">
        <v>228</v>
      </c>
      <c r="C13" s="155"/>
      <c r="D13" s="156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>
      <c r="A14" s="149"/>
      <c r="B14" s="164" t="s">
        <v>229</v>
      </c>
      <c r="C14" s="155"/>
      <c r="D14" s="156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>
      <c r="A15" s="149"/>
      <c r="B15" s="149" t="s">
        <v>230</v>
      </c>
      <c r="C15" s="155" t="b">
        <v>0</v>
      </c>
      <c r="D15" s="158">
        <v>10.0</v>
      </c>
      <c r="E15" s="157" t="s">
        <v>231</v>
      </c>
      <c r="F15" s="157" t="s">
        <v>232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>
      <c r="A16" s="149"/>
      <c r="B16" s="149" t="s">
        <v>233</v>
      </c>
      <c r="C16" s="155" t="b">
        <v>0</v>
      </c>
      <c r="D16" s="158">
        <v>10.0</v>
      </c>
      <c r="E16" s="157" t="s">
        <v>234</v>
      </c>
      <c r="F16" s="157" t="s">
        <v>235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>
      <c r="A17" s="149"/>
      <c r="B17" s="149"/>
      <c r="C17" s="155"/>
      <c r="D17" s="156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>
      <c r="A18" s="149"/>
      <c r="B18" s="164" t="s">
        <v>236</v>
      </c>
      <c r="C18" s="155"/>
      <c r="D18" s="156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>
      <c r="A19" s="149"/>
      <c r="B19" s="149" t="s">
        <v>237</v>
      </c>
      <c r="C19" s="155" t="b">
        <v>0</v>
      </c>
      <c r="D19" s="158">
        <v>10.0</v>
      </c>
      <c r="E19" s="157" t="s">
        <v>238</v>
      </c>
      <c r="F19" s="157" t="s">
        <v>239</v>
      </c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>
      <c r="A20" s="149"/>
      <c r="B20" s="149" t="s">
        <v>240</v>
      </c>
      <c r="C20" s="155" t="b">
        <v>0</v>
      </c>
      <c r="D20" s="158">
        <v>10.0</v>
      </c>
      <c r="E20" s="157" t="s">
        <v>241</v>
      </c>
      <c r="F20" s="157" t="s">
        <v>242</v>
      </c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>
      <c r="A21" s="149"/>
      <c r="B21" s="149" t="s">
        <v>243</v>
      </c>
      <c r="C21" s="155" t="b">
        <v>0</v>
      </c>
      <c r="D21" s="158">
        <v>10.0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>
      <c r="A22" s="149"/>
      <c r="B22" s="149"/>
      <c r="C22" s="155"/>
      <c r="D22" s="156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>
      <c r="A23" s="149"/>
      <c r="B23" s="164" t="s">
        <v>244</v>
      </c>
      <c r="C23" s="155"/>
      <c r="D23" s="156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>
      <c r="A24" s="149"/>
      <c r="B24" s="149" t="s">
        <v>245</v>
      </c>
      <c r="C24" s="155" t="b">
        <v>0</v>
      </c>
      <c r="D24" s="158">
        <v>10.0</v>
      </c>
      <c r="E24" s="157" t="s">
        <v>246</v>
      </c>
      <c r="F24" s="157" t="s">
        <v>247</v>
      </c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>
      <c r="A25" s="149"/>
      <c r="B25" s="149" t="s">
        <v>248</v>
      </c>
      <c r="C25" s="155" t="b">
        <v>0</v>
      </c>
      <c r="D25" s="158">
        <v>10.0</v>
      </c>
      <c r="E25" s="157" t="s">
        <v>249</v>
      </c>
      <c r="F25" s="157" t="s">
        <v>250</v>
      </c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>
      <c r="A26" s="149"/>
      <c r="B26" s="149"/>
      <c r="C26" s="155"/>
      <c r="D26" s="156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>
      <c r="A27" s="149"/>
      <c r="B27" s="164" t="s">
        <v>251</v>
      </c>
      <c r="C27" s="155"/>
      <c r="D27" s="156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>
      <c r="A28" s="149"/>
      <c r="B28" s="149" t="s">
        <v>252</v>
      </c>
      <c r="C28" s="155" t="b">
        <v>0</v>
      </c>
      <c r="D28" s="158">
        <v>10.0</v>
      </c>
      <c r="E28" s="157" t="s">
        <v>253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>
      <c r="A29" s="149"/>
      <c r="B29" s="149" t="s">
        <v>254</v>
      </c>
      <c r="C29" s="155" t="b">
        <v>0</v>
      </c>
      <c r="D29" s="158">
        <v>10.0</v>
      </c>
      <c r="E29" s="157" t="s">
        <v>255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>
      <c r="A30" s="149"/>
      <c r="B30" s="149"/>
      <c r="C30" s="155"/>
      <c r="D30" s="156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>
      <c r="A31" s="149"/>
      <c r="B31" s="164" t="s">
        <v>256</v>
      </c>
      <c r="C31" s="155"/>
      <c r="D31" s="156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>
      <c r="A32" s="149"/>
      <c r="B32" s="149" t="s">
        <v>257</v>
      </c>
      <c r="C32" s="155" t="b">
        <v>0</v>
      </c>
      <c r="D32" s="158">
        <v>10.0</v>
      </c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>
      <c r="A33" s="149"/>
      <c r="B33" s="157" t="s">
        <v>258</v>
      </c>
      <c r="C33" s="155" t="b">
        <v>0</v>
      </c>
      <c r="D33" s="158">
        <v>10.0</v>
      </c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>
      <c r="A34" s="149"/>
      <c r="B34" s="149"/>
      <c r="C34" s="155"/>
      <c r="D34" s="156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59">
        <v>2.0</v>
      </c>
      <c r="B35" s="159" t="s">
        <v>259</v>
      </c>
      <c r="C35" s="160">
        <v>200.0</v>
      </c>
      <c r="D35" s="165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>
      <c r="A36" s="149"/>
      <c r="B36" s="163" t="s">
        <v>260</v>
      </c>
      <c r="C36" s="155"/>
      <c r="D36" s="156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55"/>
      <c r="D37" s="156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64" t="s">
        <v>261</v>
      </c>
      <c r="C38" s="155"/>
      <c r="D38" s="156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 t="s">
        <v>262</v>
      </c>
      <c r="C39" s="155" t="b">
        <v>0</v>
      </c>
      <c r="D39" s="158">
        <v>20.0</v>
      </c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 t="s">
        <v>263</v>
      </c>
      <c r="C40" s="155" t="b">
        <v>0</v>
      </c>
      <c r="D40" s="158">
        <v>20.0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55"/>
      <c r="D41" s="156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64" t="s">
        <v>264</v>
      </c>
      <c r="C42" s="155"/>
      <c r="D42" s="156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 t="s">
        <v>265</v>
      </c>
      <c r="C43" s="155" t="b">
        <v>0</v>
      </c>
      <c r="D43" s="158">
        <v>20.0</v>
      </c>
      <c r="E43" s="166" t="s">
        <v>266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 t="s">
        <v>267</v>
      </c>
      <c r="C44" s="155" t="b">
        <v>0</v>
      </c>
      <c r="D44" s="158">
        <v>20.0</v>
      </c>
      <c r="E44" s="157" t="s">
        <v>268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55"/>
      <c r="D45" s="156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64" t="s">
        <v>269</v>
      </c>
      <c r="C46" s="155"/>
      <c r="D46" s="156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 t="s">
        <v>270</v>
      </c>
      <c r="C47" s="155" t="b">
        <v>0</v>
      </c>
      <c r="D47" s="158">
        <v>20.0</v>
      </c>
      <c r="E47" s="157" t="s">
        <v>271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 t="s">
        <v>272</v>
      </c>
      <c r="C48" s="155" t="b">
        <v>0</v>
      </c>
      <c r="D48" s="158">
        <v>20.0</v>
      </c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55"/>
      <c r="D49" s="156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64" t="s">
        <v>273</v>
      </c>
      <c r="C50" s="155"/>
      <c r="D50" s="156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 t="s">
        <v>274</v>
      </c>
      <c r="C51" s="155" t="b">
        <v>0</v>
      </c>
      <c r="D51" s="158">
        <v>20.0</v>
      </c>
      <c r="E51" s="157" t="s">
        <v>275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 t="s">
        <v>276</v>
      </c>
      <c r="C52" s="155" t="b">
        <v>0</v>
      </c>
      <c r="D52" s="158">
        <v>20.0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55"/>
      <c r="D53" s="156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64" t="s">
        <v>277</v>
      </c>
      <c r="C54" s="155"/>
      <c r="D54" s="156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 t="s">
        <v>278</v>
      </c>
      <c r="C55" s="155" t="b">
        <v>0</v>
      </c>
      <c r="D55" s="158">
        <v>20.0</v>
      </c>
      <c r="E55" s="157" t="s">
        <v>279</v>
      </c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 t="s">
        <v>280</v>
      </c>
      <c r="C56" s="155" t="b">
        <v>0</v>
      </c>
      <c r="D56" s="158">
        <v>20.0</v>
      </c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55"/>
      <c r="D57" s="156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67">
        <v>3.0</v>
      </c>
      <c r="B58" s="167" t="s">
        <v>78</v>
      </c>
      <c r="C58" s="168">
        <v>300.0</v>
      </c>
      <c r="D58" s="169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49"/>
      <c r="B59" s="163" t="s">
        <v>281</v>
      </c>
      <c r="C59" s="155"/>
      <c r="D59" s="156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55"/>
      <c r="D60" s="156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64" t="s">
        <v>282</v>
      </c>
      <c r="C61" s="155"/>
      <c r="D61" s="156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 t="s">
        <v>283</v>
      </c>
      <c r="C62" s="155" t="b">
        <v>0</v>
      </c>
      <c r="D62" s="158">
        <v>30.0</v>
      </c>
      <c r="E62" s="157" t="s">
        <v>284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 t="s">
        <v>285</v>
      </c>
      <c r="C63" s="155" t="b">
        <v>0</v>
      </c>
      <c r="D63" s="158">
        <v>30.0</v>
      </c>
      <c r="E63" s="157" t="s">
        <v>286</v>
      </c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55"/>
      <c r="D64" s="156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64" t="s">
        <v>287</v>
      </c>
      <c r="C65" s="155"/>
      <c r="D65" s="156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 t="s">
        <v>288</v>
      </c>
      <c r="C66" s="155" t="b">
        <v>0</v>
      </c>
      <c r="D66" s="158">
        <v>30.0</v>
      </c>
      <c r="E66" s="157" t="s">
        <v>289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 t="s">
        <v>290</v>
      </c>
      <c r="C67" s="155" t="b">
        <v>0</v>
      </c>
      <c r="D67" s="158">
        <v>30.0</v>
      </c>
      <c r="E67" s="157" t="s">
        <v>291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55"/>
      <c r="D68" s="156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64" t="s">
        <v>292</v>
      </c>
      <c r="C69" s="155"/>
      <c r="D69" s="156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 t="s">
        <v>293</v>
      </c>
      <c r="C70" s="155" t="b">
        <v>0</v>
      </c>
      <c r="D70" s="158">
        <v>30.0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 t="s">
        <v>294</v>
      </c>
      <c r="C71" s="155" t="b">
        <v>0</v>
      </c>
      <c r="D71" s="158">
        <v>30.0</v>
      </c>
      <c r="E71" s="157" t="s">
        <v>295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55"/>
      <c r="D72" s="156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64" t="s">
        <v>296</v>
      </c>
      <c r="C73" s="155"/>
      <c r="D73" s="156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 t="s">
        <v>297</v>
      </c>
      <c r="C74" s="155" t="b">
        <v>0</v>
      </c>
      <c r="D74" s="158">
        <v>30.0</v>
      </c>
      <c r="E74" s="166" t="s">
        <v>298</v>
      </c>
      <c r="F74" s="149"/>
      <c r="G74" s="149"/>
      <c r="H74" s="149"/>
      <c r="I74" s="157" t="s">
        <v>299</v>
      </c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 t="s">
        <v>300</v>
      </c>
      <c r="C75" s="155" t="b">
        <v>0</v>
      </c>
      <c r="D75" s="158">
        <v>30.0</v>
      </c>
      <c r="E75" s="157" t="s">
        <v>301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55"/>
      <c r="D76" s="156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64" t="s">
        <v>302</v>
      </c>
      <c r="C77" s="155"/>
      <c r="D77" s="156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 t="s">
        <v>303</v>
      </c>
      <c r="C78" s="155" t="b">
        <v>0</v>
      </c>
      <c r="D78" s="158">
        <v>30.0</v>
      </c>
      <c r="E78" s="157" t="s">
        <v>304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 t="s">
        <v>305</v>
      </c>
      <c r="C79" s="155" t="b">
        <v>0</v>
      </c>
      <c r="D79" s="158">
        <v>30.0</v>
      </c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55"/>
      <c r="D80" s="156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71" t="s">
        <v>306</v>
      </c>
      <c r="B81" s="171" t="s">
        <v>307</v>
      </c>
      <c r="C81" s="172">
        <v>4.0</v>
      </c>
      <c r="D81" s="173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</row>
    <row r="82">
      <c r="A82" s="149"/>
      <c r="B82" s="149" t="s">
        <v>308</v>
      </c>
      <c r="C82" s="155" t="b">
        <v>0</v>
      </c>
      <c r="D82" s="158">
        <v>1.0</v>
      </c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 t="s">
        <v>309</v>
      </c>
      <c r="C83" s="155" t="b">
        <v>0</v>
      </c>
      <c r="D83" s="158">
        <v>1.0</v>
      </c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 t="s">
        <v>310</v>
      </c>
      <c r="C84" s="155" t="b">
        <v>0</v>
      </c>
      <c r="D84" s="158">
        <v>1.0</v>
      </c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 t="s">
        <v>311</v>
      </c>
      <c r="C85" s="155" t="b">
        <v>0</v>
      </c>
      <c r="D85" s="158">
        <v>1.0</v>
      </c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55"/>
      <c r="D86" s="156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71"/>
      <c r="B87" s="171" t="s">
        <v>312</v>
      </c>
      <c r="C87" s="175"/>
      <c r="D87" s="176" t="s">
        <v>313</v>
      </c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</row>
    <row r="88">
      <c r="A88" s="149"/>
      <c r="B88" s="149"/>
      <c r="C88" s="155"/>
      <c r="D88" s="156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55"/>
      <c r="D89" s="156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55"/>
      <c r="D90" s="156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55"/>
      <c r="D91" s="156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55"/>
      <c r="D92" s="156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55"/>
      <c r="D93" s="156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55"/>
      <c r="D94" s="156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55"/>
      <c r="D95" s="156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55"/>
      <c r="D96" s="156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55"/>
      <c r="D97" s="156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55"/>
      <c r="D98" s="156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55"/>
      <c r="D99" s="156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55"/>
      <c r="D100" s="156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55"/>
      <c r="D101" s="156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55"/>
      <c r="D102" s="156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55"/>
      <c r="D103" s="156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55"/>
      <c r="D104" s="156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55"/>
      <c r="D105" s="156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55"/>
      <c r="D106" s="156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55"/>
      <c r="D107" s="156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55"/>
      <c r="D108" s="156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55"/>
      <c r="D109" s="156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55"/>
      <c r="D110" s="156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55"/>
      <c r="D111" s="156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55"/>
      <c r="D112" s="156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55"/>
      <c r="D113" s="156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55"/>
      <c r="D114" s="156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55"/>
      <c r="D115" s="156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55"/>
      <c r="D116" s="156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55"/>
      <c r="D117" s="156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55"/>
      <c r="D118" s="156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55"/>
      <c r="D119" s="156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55"/>
      <c r="D120" s="156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55"/>
      <c r="D121" s="156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55"/>
      <c r="D122" s="156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55"/>
      <c r="D123" s="156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55"/>
      <c r="D124" s="156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55"/>
      <c r="D125" s="156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55"/>
      <c r="D126" s="156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55"/>
      <c r="D127" s="156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55"/>
      <c r="D128" s="156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55"/>
      <c r="D129" s="156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55"/>
      <c r="D130" s="156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55"/>
      <c r="D131" s="156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55"/>
      <c r="D132" s="156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55"/>
      <c r="D133" s="156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55"/>
      <c r="D134" s="156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55"/>
      <c r="D135" s="156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55"/>
      <c r="D136" s="156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55"/>
      <c r="D137" s="156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55"/>
      <c r="D138" s="156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55"/>
      <c r="D139" s="156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55"/>
      <c r="D140" s="156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55"/>
      <c r="D141" s="156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55"/>
      <c r="D142" s="156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55"/>
      <c r="D143" s="156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55"/>
      <c r="D144" s="156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55"/>
      <c r="D145" s="156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55"/>
      <c r="D146" s="156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55"/>
      <c r="D147" s="156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55"/>
      <c r="D148" s="156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55"/>
      <c r="D149" s="156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55"/>
      <c r="D150" s="156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55"/>
      <c r="D151" s="156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55"/>
      <c r="D152" s="156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55"/>
      <c r="D153" s="156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55"/>
      <c r="D154" s="156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55"/>
      <c r="D155" s="156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55"/>
      <c r="D156" s="156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55"/>
      <c r="D157" s="156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55"/>
      <c r="D158" s="156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55"/>
      <c r="D159" s="156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55"/>
      <c r="D160" s="156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55"/>
      <c r="D161" s="156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55"/>
      <c r="D162" s="156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55"/>
      <c r="D163" s="156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55"/>
      <c r="D164" s="156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55"/>
      <c r="D165" s="156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55"/>
      <c r="D166" s="156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55"/>
      <c r="D167" s="156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55"/>
      <c r="D168" s="156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55"/>
      <c r="D169" s="156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55"/>
      <c r="D170" s="156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55"/>
      <c r="D171" s="156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55"/>
      <c r="D172" s="156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55"/>
      <c r="D173" s="156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55"/>
      <c r="D174" s="156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55"/>
      <c r="D175" s="156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55"/>
      <c r="D176" s="156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55"/>
      <c r="D177" s="156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55"/>
      <c r="D178" s="156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55"/>
      <c r="D179" s="156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55"/>
      <c r="D180" s="156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55"/>
      <c r="D181" s="156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55"/>
      <c r="D182" s="156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55"/>
      <c r="D183" s="156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55"/>
      <c r="D184" s="156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55"/>
      <c r="D185" s="156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55"/>
      <c r="D186" s="156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55"/>
      <c r="D187" s="156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55"/>
      <c r="D188" s="156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55"/>
      <c r="D189" s="156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55"/>
      <c r="D190" s="156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55"/>
      <c r="D191" s="156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55"/>
      <c r="D192" s="156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55"/>
      <c r="D193" s="156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55"/>
      <c r="D194" s="156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55"/>
      <c r="D195" s="156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55"/>
      <c r="D196" s="156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55"/>
      <c r="D197" s="156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55"/>
      <c r="D198" s="156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55"/>
      <c r="D199" s="156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55"/>
      <c r="D200" s="156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55"/>
      <c r="D201" s="156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55"/>
      <c r="D202" s="156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55"/>
      <c r="D203" s="156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55"/>
      <c r="D204" s="156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55"/>
      <c r="D205" s="156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55"/>
      <c r="D206" s="156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55"/>
      <c r="D207" s="156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55"/>
      <c r="D208" s="156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55"/>
      <c r="D209" s="156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55"/>
      <c r="D210" s="156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55"/>
      <c r="D211" s="156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55"/>
      <c r="D212" s="156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55"/>
      <c r="D213" s="156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55"/>
      <c r="D214" s="156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55"/>
      <c r="D215" s="156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55"/>
      <c r="D216" s="156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55"/>
      <c r="D217" s="156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55"/>
      <c r="D218" s="156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55"/>
      <c r="D219" s="156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55"/>
      <c r="D220" s="156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55"/>
      <c r="D221" s="156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55"/>
      <c r="D222" s="156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55"/>
      <c r="D223" s="156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55"/>
      <c r="D224" s="156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55"/>
      <c r="D225" s="156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55"/>
      <c r="D226" s="156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55"/>
      <c r="D227" s="156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55"/>
      <c r="D228" s="15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55"/>
      <c r="D229" s="156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55"/>
      <c r="D230" s="156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55"/>
      <c r="D231" s="156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55"/>
      <c r="D232" s="156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55"/>
      <c r="D233" s="156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55"/>
      <c r="D234" s="156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55"/>
      <c r="D235" s="156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55"/>
      <c r="D236" s="156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55"/>
      <c r="D237" s="156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55"/>
      <c r="D238" s="156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55"/>
      <c r="D239" s="156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55"/>
      <c r="D240" s="156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55"/>
      <c r="D241" s="156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55"/>
      <c r="D242" s="156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55"/>
      <c r="D243" s="156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55"/>
      <c r="D244" s="156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55"/>
      <c r="D245" s="156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55"/>
      <c r="D246" s="156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55"/>
      <c r="D247" s="156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55"/>
      <c r="D248" s="156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55"/>
      <c r="D249" s="156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55"/>
      <c r="D250" s="15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55"/>
      <c r="D251" s="156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55"/>
      <c r="D252" s="156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55"/>
      <c r="D253" s="156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55"/>
      <c r="D254" s="156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55"/>
      <c r="D255" s="156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55"/>
      <c r="D256" s="156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55"/>
      <c r="D257" s="156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55"/>
      <c r="D258" s="156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55"/>
      <c r="D259" s="156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55"/>
      <c r="D260" s="156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55"/>
      <c r="D261" s="156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55"/>
      <c r="D262" s="156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55"/>
      <c r="D263" s="156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55"/>
      <c r="D264" s="156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55"/>
      <c r="D265" s="156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55"/>
      <c r="D266" s="156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55"/>
      <c r="D267" s="156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55"/>
      <c r="D268" s="156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55"/>
      <c r="D269" s="156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55"/>
      <c r="D270" s="156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55"/>
      <c r="D271" s="156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55"/>
      <c r="D272" s="156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55"/>
      <c r="D273" s="156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55"/>
      <c r="D274" s="156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55"/>
      <c r="D275" s="156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55"/>
      <c r="D276" s="156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55"/>
      <c r="D277" s="156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55"/>
      <c r="D278" s="156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55"/>
      <c r="D279" s="156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55"/>
      <c r="D280" s="156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55"/>
      <c r="D281" s="156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55"/>
      <c r="D282" s="156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55"/>
      <c r="D283" s="156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55"/>
      <c r="D284" s="156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55"/>
      <c r="D285" s="156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55"/>
      <c r="D286" s="156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55"/>
      <c r="D287" s="156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55"/>
      <c r="D288" s="156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55"/>
      <c r="D289" s="156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55"/>
      <c r="D290" s="156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55"/>
      <c r="D291" s="156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55"/>
      <c r="D292" s="156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55"/>
      <c r="D293" s="156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55"/>
      <c r="D294" s="156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55"/>
      <c r="D295" s="156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55"/>
      <c r="D296" s="156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55"/>
      <c r="D297" s="156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55"/>
      <c r="D298" s="156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55"/>
      <c r="D299" s="156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55"/>
      <c r="D300" s="156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55"/>
      <c r="D301" s="156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55"/>
      <c r="D302" s="156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55"/>
      <c r="D303" s="156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55"/>
      <c r="D304" s="156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55"/>
      <c r="D305" s="156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55"/>
      <c r="D306" s="156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55"/>
      <c r="D307" s="156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55"/>
      <c r="D308" s="156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55"/>
      <c r="D309" s="156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55"/>
      <c r="D310" s="156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55"/>
      <c r="D311" s="156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55"/>
      <c r="D312" s="156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55"/>
      <c r="D313" s="156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55"/>
      <c r="D314" s="156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55"/>
      <c r="D315" s="156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55"/>
      <c r="D316" s="156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55"/>
      <c r="D317" s="156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55"/>
      <c r="D318" s="156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55"/>
      <c r="D319" s="156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55"/>
      <c r="D320" s="156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55"/>
      <c r="D321" s="156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55"/>
      <c r="D322" s="156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55"/>
      <c r="D323" s="156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55"/>
      <c r="D324" s="156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55"/>
      <c r="D325" s="156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55"/>
      <c r="D326" s="156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55"/>
      <c r="D327" s="156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55"/>
      <c r="D328" s="156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55"/>
      <c r="D329" s="156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55"/>
      <c r="D330" s="156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55"/>
      <c r="D331" s="156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55"/>
      <c r="D332" s="156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55"/>
      <c r="D333" s="156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55"/>
      <c r="D334" s="156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55"/>
      <c r="D335" s="156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55"/>
      <c r="D336" s="156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55"/>
      <c r="D337" s="156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55"/>
      <c r="D338" s="156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55"/>
      <c r="D339" s="156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55"/>
      <c r="D340" s="156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55"/>
      <c r="D341" s="156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55"/>
      <c r="D342" s="156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55"/>
      <c r="D343" s="156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55"/>
      <c r="D344" s="156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55"/>
      <c r="D345" s="156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55"/>
      <c r="D346" s="156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55"/>
      <c r="D347" s="156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55"/>
      <c r="D348" s="156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55"/>
      <c r="D349" s="156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55"/>
      <c r="D350" s="156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55"/>
      <c r="D351" s="156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55"/>
      <c r="D352" s="156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55"/>
      <c r="D353" s="156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55"/>
      <c r="D354" s="156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55"/>
      <c r="D355" s="156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55"/>
      <c r="D356" s="156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55"/>
      <c r="D357" s="156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55"/>
      <c r="D358" s="156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55"/>
      <c r="D359" s="156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55"/>
      <c r="D360" s="156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55"/>
      <c r="D361" s="156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55"/>
      <c r="D362" s="156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55"/>
      <c r="D363" s="156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55"/>
      <c r="D364" s="156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55"/>
      <c r="D365" s="156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55"/>
      <c r="D366" s="156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55"/>
      <c r="D367" s="156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55"/>
      <c r="D368" s="156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55"/>
      <c r="D369" s="156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55"/>
      <c r="D370" s="156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55"/>
      <c r="D371" s="156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55"/>
      <c r="D372" s="156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55"/>
      <c r="D373" s="156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55"/>
      <c r="D374" s="156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55"/>
      <c r="D375" s="156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55"/>
      <c r="D376" s="156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55"/>
      <c r="D377" s="156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55"/>
      <c r="D378" s="156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55"/>
      <c r="D379" s="156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55"/>
      <c r="D380" s="156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55"/>
      <c r="D381" s="156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55"/>
      <c r="D382" s="156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55"/>
      <c r="D383" s="156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55"/>
      <c r="D384" s="156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55"/>
      <c r="D385" s="156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55"/>
      <c r="D386" s="156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55"/>
      <c r="D387" s="156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55"/>
      <c r="D388" s="156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55"/>
      <c r="D389" s="156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55"/>
      <c r="D390" s="156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55"/>
      <c r="D391" s="156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55"/>
      <c r="D392" s="156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55"/>
      <c r="D393" s="156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55"/>
      <c r="D394" s="156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55"/>
      <c r="D395" s="156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55"/>
      <c r="D396" s="156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55"/>
      <c r="D397" s="156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55"/>
      <c r="D398" s="156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55"/>
      <c r="D399" s="156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55"/>
      <c r="D400" s="156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55"/>
      <c r="D401" s="156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55"/>
      <c r="D402" s="156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55"/>
      <c r="D403" s="156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55"/>
      <c r="D404" s="156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55"/>
      <c r="D405" s="156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55"/>
      <c r="D406" s="156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55"/>
      <c r="D407" s="156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55"/>
      <c r="D408" s="156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55"/>
      <c r="D409" s="156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55"/>
      <c r="D410" s="156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55"/>
      <c r="D411" s="156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55"/>
      <c r="D412" s="156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55"/>
      <c r="D413" s="156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55"/>
      <c r="D414" s="156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55"/>
      <c r="D415" s="156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55"/>
      <c r="D416" s="156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55"/>
      <c r="D417" s="156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55"/>
      <c r="D418" s="156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55"/>
      <c r="D419" s="156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55"/>
      <c r="D420" s="156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55"/>
      <c r="D421" s="156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55"/>
      <c r="D422" s="156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55"/>
      <c r="D423" s="156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55"/>
      <c r="D424" s="156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55"/>
      <c r="D425" s="156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55"/>
      <c r="D426" s="156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55"/>
      <c r="D427" s="156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55"/>
      <c r="D428" s="156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55"/>
      <c r="D429" s="156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55"/>
      <c r="D430" s="156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55"/>
      <c r="D431" s="156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55"/>
      <c r="D432" s="156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55"/>
      <c r="D433" s="156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55"/>
      <c r="D434" s="156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55"/>
      <c r="D435" s="156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55"/>
      <c r="D436" s="156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55"/>
      <c r="D437" s="156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55"/>
      <c r="D438" s="156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55"/>
      <c r="D439" s="156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55"/>
      <c r="D440" s="156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55"/>
      <c r="D441" s="156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55"/>
      <c r="D442" s="156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55"/>
      <c r="D443" s="156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55"/>
      <c r="D444" s="156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55"/>
      <c r="D445" s="156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55"/>
      <c r="D446" s="156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55"/>
      <c r="D447" s="156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55"/>
      <c r="D448" s="156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55"/>
      <c r="D449" s="156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55"/>
      <c r="D450" s="156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55"/>
      <c r="D451" s="156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55"/>
      <c r="D452" s="156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55"/>
      <c r="D453" s="156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55"/>
      <c r="D454" s="156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55"/>
      <c r="D455" s="156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55"/>
      <c r="D456" s="156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55"/>
      <c r="D457" s="156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55"/>
      <c r="D458" s="156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55"/>
      <c r="D459" s="156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55"/>
      <c r="D460" s="156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55"/>
      <c r="D461" s="156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55"/>
      <c r="D462" s="156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55"/>
      <c r="D463" s="156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55"/>
      <c r="D464" s="156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55"/>
      <c r="D465" s="156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55"/>
      <c r="D466" s="156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55"/>
      <c r="D467" s="156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55"/>
      <c r="D468" s="156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55"/>
      <c r="D469" s="156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55"/>
      <c r="D470" s="156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55"/>
      <c r="D471" s="156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55"/>
      <c r="D472" s="156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55"/>
      <c r="D473" s="156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55"/>
      <c r="D474" s="156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55"/>
      <c r="D475" s="156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55"/>
      <c r="D476" s="156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55"/>
      <c r="D477" s="156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55"/>
      <c r="D478" s="156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55"/>
      <c r="D479" s="156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55"/>
      <c r="D480" s="156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55"/>
      <c r="D481" s="156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55"/>
      <c r="D482" s="156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55"/>
      <c r="D483" s="156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55"/>
      <c r="D484" s="156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55"/>
      <c r="D485" s="156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55"/>
      <c r="D486" s="156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55"/>
      <c r="D487" s="156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55"/>
      <c r="D488" s="156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55"/>
      <c r="D489" s="156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55"/>
      <c r="D490" s="156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55"/>
      <c r="D491" s="156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55"/>
      <c r="D492" s="156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55"/>
      <c r="D493" s="156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55"/>
      <c r="D494" s="156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55"/>
      <c r="D495" s="156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55"/>
      <c r="D496" s="156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55"/>
      <c r="D497" s="156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55"/>
      <c r="D498" s="156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55"/>
      <c r="D499" s="156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55"/>
      <c r="D500" s="156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55"/>
      <c r="D501" s="156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55"/>
      <c r="D502" s="156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55"/>
      <c r="D503" s="156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55"/>
      <c r="D504" s="156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55"/>
      <c r="D505" s="156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55"/>
      <c r="D506" s="156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55"/>
      <c r="D507" s="156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55"/>
      <c r="D508" s="156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55"/>
      <c r="D509" s="156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55"/>
      <c r="D510" s="156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55"/>
      <c r="D511" s="156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55"/>
      <c r="D512" s="156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55"/>
      <c r="D513" s="156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55"/>
      <c r="D514" s="156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55"/>
      <c r="D515" s="156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55"/>
      <c r="D516" s="156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55"/>
      <c r="D517" s="156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55"/>
      <c r="D518" s="156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55"/>
      <c r="D519" s="156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55"/>
      <c r="D520" s="156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55"/>
      <c r="D521" s="156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55"/>
      <c r="D522" s="156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55"/>
      <c r="D523" s="156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55"/>
      <c r="D524" s="156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55"/>
      <c r="D525" s="156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55"/>
      <c r="D526" s="156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55"/>
      <c r="D527" s="156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55"/>
      <c r="D528" s="156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55"/>
      <c r="D529" s="156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55"/>
      <c r="D530" s="156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55"/>
      <c r="D531" s="156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55"/>
      <c r="D532" s="156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55"/>
      <c r="D533" s="156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55"/>
      <c r="D534" s="156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55"/>
      <c r="D535" s="156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55"/>
      <c r="D536" s="156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55"/>
      <c r="D537" s="156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55"/>
      <c r="D538" s="156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55"/>
      <c r="D539" s="156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55"/>
      <c r="D540" s="156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55"/>
      <c r="D541" s="156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55"/>
      <c r="D542" s="156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55"/>
      <c r="D543" s="156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55"/>
      <c r="D544" s="156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55"/>
      <c r="D545" s="156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55"/>
      <c r="D546" s="156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55"/>
      <c r="D547" s="156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55"/>
      <c r="D548" s="156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55"/>
      <c r="D549" s="156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55"/>
      <c r="D550" s="156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55"/>
      <c r="D551" s="156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55"/>
      <c r="D552" s="156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55"/>
      <c r="D553" s="156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55"/>
      <c r="D554" s="156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55"/>
      <c r="D555" s="156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55"/>
      <c r="D556" s="156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55"/>
      <c r="D557" s="156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55"/>
      <c r="D558" s="156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55"/>
      <c r="D559" s="156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55"/>
      <c r="D560" s="156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55"/>
      <c r="D561" s="156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55"/>
      <c r="D562" s="156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55"/>
      <c r="D563" s="156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55"/>
      <c r="D564" s="156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55"/>
      <c r="D565" s="156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55"/>
      <c r="D566" s="156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55"/>
      <c r="D567" s="156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55"/>
      <c r="D568" s="156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55"/>
      <c r="D569" s="156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55"/>
      <c r="D570" s="156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55"/>
      <c r="D571" s="156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55"/>
      <c r="D572" s="156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55"/>
      <c r="D573" s="156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55"/>
      <c r="D574" s="156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55"/>
      <c r="D575" s="156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55"/>
      <c r="D576" s="156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55"/>
      <c r="D577" s="156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55"/>
      <c r="D578" s="156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55"/>
      <c r="D579" s="156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55"/>
      <c r="D580" s="156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55"/>
      <c r="D581" s="156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55"/>
      <c r="D582" s="156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55"/>
      <c r="D583" s="156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55"/>
      <c r="D584" s="156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55"/>
      <c r="D585" s="156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55"/>
      <c r="D586" s="156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55"/>
      <c r="D587" s="156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55"/>
      <c r="D588" s="156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55"/>
      <c r="D589" s="156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55"/>
      <c r="D590" s="156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55"/>
      <c r="D591" s="156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55"/>
      <c r="D592" s="156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55"/>
      <c r="D593" s="156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55"/>
      <c r="D594" s="156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55"/>
      <c r="D595" s="156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55"/>
      <c r="D596" s="156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55"/>
      <c r="D597" s="156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55"/>
      <c r="D598" s="156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55"/>
      <c r="D599" s="156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55"/>
      <c r="D600" s="156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55"/>
      <c r="D601" s="156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55"/>
      <c r="D602" s="156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55"/>
      <c r="D603" s="156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55"/>
      <c r="D604" s="156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55"/>
      <c r="D605" s="156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55"/>
      <c r="D606" s="156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55"/>
      <c r="D607" s="156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55"/>
      <c r="D608" s="156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55"/>
      <c r="D609" s="156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55"/>
      <c r="D610" s="156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55"/>
      <c r="D611" s="156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55"/>
      <c r="D612" s="156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55"/>
      <c r="D613" s="156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55"/>
      <c r="D614" s="156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55"/>
      <c r="D615" s="156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55"/>
      <c r="D616" s="156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55"/>
      <c r="D617" s="156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55"/>
      <c r="D618" s="156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55"/>
      <c r="D619" s="156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55"/>
      <c r="D620" s="156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55"/>
      <c r="D621" s="156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55"/>
      <c r="D622" s="156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55"/>
      <c r="D623" s="156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55"/>
      <c r="D624" s="156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55"/>
      <c r="D625" s="156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55"/>
      <c r="D626" s="156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55"/>
      <c r="D627" s="156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55"/>
      <c r="D628" s="156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55"/>
      <c r="D629" s="156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55"/>
      <c r="D630" s="156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55"/>
      <c r="D631" s="156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55"/>
      <c r="D632" s="156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55"/>
      <c r="D633" s="156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55"/>
      <c r="D634" s="156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55"/>
      <c r="D635" s="156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55"/>
      <c r="D636" s="156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55"/>
      <c r="D637" s="156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55"/>
      <c r="D638" s="156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55"/>
      <c r="D639" s="156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55"/>
      <c r="D640" s="156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55"/>
      <c r="D641" s="156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55"/>
      <c r="D642" s="156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55"/>
      <c r="D643" s="156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55"/>
      <c r="D644" s="156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55"/>
      <c r="D645" s="156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55"/>
      <c r="D646" s="156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55"/>
      <c r="D647" s="156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55"/>
      <c r="D648" s="156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55"/>
      <c r="D649" s="156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55"/>
      <c r="D650" s="156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55"/>
      <c r="D651" s="156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55"/>
      <c r="D652" s="156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55"/>
      <c r="D653" s="156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55"/>
      <c r="D654" s="156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55"/>
      <c r="D655" s="156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55"/>
      <c r="D656" s="156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55"/>
      <c r="D657" s="156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55"/>
      <c r="D658" s="156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55"/>
      <c r="D659" s="156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55"/>
      <c r="D660" s="156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55"/>
      <c r="D661" s="156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55"/>
      <c r="D662" s="156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55"/>
      <c r="D663" s="156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55"/>
      <c r="D664" s="156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55"/>
      <c r="D665" s="156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55"/>
      <c r="D666" s="156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55"/>
      <c r="D667" s="156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55"/>
      <c r="D668" s="156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55"/>
      <c r="D669" s="156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55"/>
      <c r="D670" s="156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55"/>
      <c r="D671" s="156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55"/>
      <c r="D672" s="156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55"/>
      <c r="D673" s="156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55"/>
      <c r="D674" s="156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55"/>
      <c r="D675" s="156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55"/>
      <c r="D676" s="156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55"/>
      <c r="D677" s="156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55"/>
      <c r="D678" s="156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55"/>
      <c r="D679" s="156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55"/>
      <c r="D680" s="156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55"/>
      <c r="D681" s="156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55"/>
      <c r="D682" s="156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55"/>
      <c r="D683" s="156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55"/>
      <c r="D684" s="156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55"/>
      <c r="D685" s="156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55"/>
      <c r="D686" s="156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55"/>
      <c r="D687" s="156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55"/>
      <c r="D688" s="156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55"/>
      <c r="D689" s="156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55"/>
      <c r="D690" s="156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55"/>
      <c r="D691" s="156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55"/>
      <c r="D692" s="156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55"/>
      <c r="D693" s="156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55"/>
      <c r="D694" s="156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55"/>
      <c r="D695" s="156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55"/>
      <c r="D696" s="156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55"/>
      <c r="D697" s="156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55"/>
      <c r="D698" s="156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55"/>
      <c r="D699" s="156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55"/>
      <c r="D700" s="156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55"/>
      <c r="D701" s="156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55"/>
      <c r="D702" s="156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55"/>
      <c r="D703" s="156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55"/>
      <c r="D704" s="156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55"/>
      <c r="D705" s="156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55"/>
      <c r="D706" s="156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55"/>
      <c r="D707" s="156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55"/>
      <c r="D708" s="156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55"/>
      <c r="D709" s="156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55"/>
      <c r="D710" s="156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55"/>
      <c r="D711" s="156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55"/>
      <c r="D712" s="156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55"/>
      <c r="D713" s="156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55"/>
      <c r="D714" s="156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55"/>
      <c r="D715" s="156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55"/>
      <c r="D716" s="156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55"/>
      <c r="D717" s="156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55"/>
      <c r="D718" s="156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55"/>
      <c r="D719" s="156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55"/>
      <c r="D720" s="156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55"/>
      <c r="D721" s="156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55"/>
      <c r="D722" s="156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55"/>
      <c r="D723" s="156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55"/>
      <c r="D724" s="156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55"/>
      <c r="D725" s="156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55"/>
      <c r="D726" s="156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55"/>
      <c r="D727" s="156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55"/>
      <c r="D728" s="156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55"/>
      <c r="D729" s="156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55"/>
      <c r="D730" s="156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55"/>
      <c r="D731" s="156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55"/>
      <c r="D732" s="156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55"/>
      <c r="D733" s="156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55"/>
      <c r="D734" s="156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55"/>
      <c r="D735" s="156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55"/>
      <c r="D736" s="156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55"/>
      <c r="D737" s="156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55"/>
      <c r="D738" s="156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55"/>
      <c r="D739" s="156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55"/>
      <c r="D740" s="156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55"/>
      <c r="D741" s="156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55"/>
      <c r="D742" s="156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55"/>
      <c r="D743" s="156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55"/>
      <c r="D744" s="156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55"/>
      <c r="D745" s="156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55"/>
      <c r="D746" s="156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55"/>
      <c r="D747" s="156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55"/>
      <c r="D748" s="156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55"/>
      <c r="D749" s="156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55"/>
      <c r="D750" s="156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55"/>
      <c r="D751" s="156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55"/>
      <c r="D752" s="156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55"/>
      <c r="D753" s="156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55"/>
      <c r="D754" s="156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55"/>
      <c r="D755" s="156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55"/>
      <c r="D756" s="156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55"/>
      <c r="D757" s="156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55"/>
      <c r="D758" s="156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55"/>
      <c r="D759" s="156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55"/>
      <c r="D760" s="156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55"/>
      <c r="D761" s="156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55"/>
      <c r="D762" s="156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55"/>
      <c r="D763" s="156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55"/>
      <c r="D764" s="156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55"/>
      <c r="D765" s="156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55"/>
      <c r="D766" s="156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55"/>
      <c r="D767" s="156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55"/>
      <c r="D768" s="156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55"/>
      <c r="D769" s="156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55"/>
      <c r="D770" s="156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55"/>
      <c r="D771" s="156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55"/>
      <c r="D772" s="156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55"/>
      <c r="D773" s="156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55"/>
      <c r="D774" s="156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55"/>
      <c r="D775" s="156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55"/>
      <c r="D776" s="156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55"/>
      <c r="D777" s="156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55"/>
      <c r="D778" s="156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55"/>
      <c r="D779" s="156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55"/>
      <c r="D780" s="156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55"/>
      <c r="D781" s="156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55"/>
      <c r="D782" s="156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55"/>
      <c r="D783" s="156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55"/>
      <c r="D784" s="156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55"/>
      <c r="D785" s="156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55"/>
      <c r="D786" s="156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55"/>
      <c r="D787" s="156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55"/>
      <c r="D788" s="156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55"/>
      <c r="D789" s="156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55"/>
      <c r="D790" s="156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55"/>
      <c r="D791" s="156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55"/>
      <c r="D792" s="156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55"/>
      <c r="D793" s="156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55"/>
      <c r="D794" s="156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55"/>
      <c r="D795" s="156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55"/>
      <c r="D796" s="156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55"/>
      <c r="D797" s="156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55"/>
      <c r="D798" s="156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55"/>
      <c r="D799" s="156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55"/>
      <c r="D800" s="156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55"/>
      <c r="D801" s="156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55"/>
      <c r="D802" s="156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55"/>
      <c r="D803" s="156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55"/>
      <c r="D804" s="156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55"/>
      <c r="D805" s="156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55"/>
      <c r="D806" s="156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55"/>
      <c r="D807" s="156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55"/>
      <c r="D808" s="156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55"/>
      <c r="D809" s="156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55"/>
      <c r="D810" s="156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55"/>
      <c r="D811" s="156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55"/>
      <c r="D812" s="156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55"/>
      <c r="D813" s="156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55"/>
      <c r="D814" s="156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55"/>
      <c r="D815" s="156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55"/>
      <c r="D816" s="156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55"/>
      <c r="D817" s="156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55"/>
      <c r="D818" s="156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55"/>
      <c r="D819" s="156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55"/>
      <c r="D820" s="156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55"/>
      <c r="D821" s="156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55"/>
      <c r="D822" s="156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55"/>
      <c r="D823" s="156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55"/>
      <c r="D824" s="156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55"/>
      <c r="D825" s="156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55"/>
      <c r="D826" s="156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55"/>
      <c r="D827" s="156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55"/>
      <c r="D828" s="156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55"/>
      <c r="D829" s="156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55"/>
      <c r="D830" s="156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55"/>
      <c r="D831" s="156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55"/>
      <c r="D832" s="156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55"/>
      <c r="D833" s="156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55"/>
      <c r="D834" s="156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55"/>
      <c r="D835" s="156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55"/>
      <c r="D836" s="156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55"/>
      <c r="D837" s="156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55"/>
      <c r="D838" s="156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55"/>
      <c r="D839" s="156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55"/>
      <c r="D840" s="156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55"/>
      <c r="D841" s="156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55"/>
      <c r="D842" s="156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55"/>
      <c r="D843" s="156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55"/>
      <c r="D844" s="156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55"/>
      <c r="D845" s="156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55"/>
      <c r="D846" s="156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55"/>
      <c r="D847" s="156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55"/>
      <c r="D848" s="156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55"/>
      <c r="D849" s="156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55"/>
      <c r="D850" s="156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55"/>
      <c r="D851" s="156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55"/>
      <c r="D852" s="156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55"/>
      <c r="D853" s="156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55"/>
      <c r="D854" s="156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55"/>
      <c r="D855" s="156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55"/>
      <c r="D856" s="156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55"/>
      <c r="D857" s="156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55"/>
      <c r="D858" s="156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55"/>
      <c r="D859" s="156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55"/>
      <c r="D860" s="156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55"/>
      <c r="D861" s="156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55"/>
      <c r="D862" s="156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55"/>
      <c r="D863" s="156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55"/>
      <c r="D864" s="156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55"/>
      <c r="D865" s="156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55"/>
      <c r="D866" s="156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55"/>
      <c r="D867" s="156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55"/>
      <c r="D868" s="156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55"/>
      <c r="D869" s="156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55"/>
      <c r="D870" s="156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55"/>
      <c r="D871" s="156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55"/>
      <c r="D872" s="156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55"/>
      <c r="D873" s="156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55"/>
      <c r="D874" s="156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55"/>
      <c r="D875" s="156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55"/>
      <c r="D876" s="156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55"/>
      <c r="D877" s="156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55"/>
      <c r="D878" s="156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55"/>
      <c r="D879" s="156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55"/>
      <c r="D880" s="156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55"/>
      <c r="D881" s="156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55"/>
      <c r="D882" s="156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55"/>
      <c r="D883" s="156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55"/>
      <c r="D884" s="156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55"/>
      <c r="D885" s="156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55"/>
      <c r="D886" s="156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55"/>
      <c r="D887" s="156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55"/>
      <c r="D888" s="156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55"/>
      <c r="D889" s="156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55"/>
      <c r="D890" s="156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>
      <c r="A891" s="149"/>
      <c r="B891" s="149"/>
      <c r="C891" s="155"/>
      <c r="D891" s="156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>
      <c r="A892" s="149"/>
      <c r="B892" s="149"/>
      <c r="C892" s="155"/>
      <c r="D892" s="156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>
      <c r="A893" s="149"/>
      <c r="B893" s="149"/>
      <c r="C893" s="155"/>
      <c r="D893" s="156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>
      <c r="A894" s="149"/>
      <c r="B894" s="149"/>
      <c r="C894" s="155"/>
      <c r="D894" s="156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>
      <c r="A895" s="149"/>
      <c r="B895" s="149"/>
      <c r="C895" s="155"/>
      <c r="D895" s="156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>
      <c r="A896" s="149"/>
      <c r="B896" s="149"/>
      <c r="C896" s="155"/>
      <c r="D896" s="156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>
      <c r="A897" s="149"/>
      <c r="B897" s="149"/>
      <c r="C897" s="155"/>
      <c r="D897" s="156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>
      <c r="A898" s="149"/>
      <c r="B898" s="149"/>
      <c r="C898" s="155"/>
      <c r="D898" s="156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>
      <c r="A899" s="149"/>
      <c r="B899" s="149"/>
      <c r="C899" s="155"/>
      <c r="D899" s="156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>
      <c r="A900" s="149"/>
      <c r="B900" s="149"/>
      <c r="C900" s="155"/>
      <c r="D900" s="156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>
      <c r="A901" s="149"/>
      <c r="B901" s="149"/>
      <c r="C901" s="155"/>
      <c r="D901" s="156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>
      <c r="A902" s="149"/>
      <c r="B902" s="149"/>
      <c r="C902" s="155"/>
      <c r="D902" s="156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>
      <c r="A903" s="149"/>
      <c r="B903" s="149"/>
      <c r="C903" s="155"/>
      <c r="D903" s="156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>
      <c r="A904" s="149"/>
      <c r="B904" s="149"/>
      <c r="C904" s="155"/>
      <c r="D904" s="156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>
      <c r="A905" s="149"/>
      <c r="B905" s="149"/>
      <c r="C905" s="155"/>
      <c r="D905" s="156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>
      <c r="A906" s="149"/>
      <c r="B906" s="149"/>
      <c r="C906" s="155"/>
      <c r="D906" s="156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>
      <c r="A907" s="149"/>
      <c r="B907" s="149"/>
      <c r="C907" s="155"/>
      <c r="D907" s="156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>
      <c r="A908" s="149"/>
      <c r="B908" s="149"/>
      <c r="C908" s="155"/>
      <c r="D908" s="156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>
      <c r="A909" s="149"/>
      <c r="B909" s="149"/>
      <c r="C909" s="155"/>
      <c r="D909" s="156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>
      <c r="A910" s="149"/>
      <c r="B910" s="149"/>
      <c r="C910" s="155"/>
      <c r="D910" s="156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>
      <c r="A911" s="149"/>
      <c r="B911" s="149"/>
      <c r="C911" s="155"/>
      <c r="D911" s="156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>
      <c r="A912" s="149"/>
      <c r="B912" s="149"/>
      <c r="C912" s="155"/>
      <c r="D912" s="156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>
      <c r="A913" s="149"/>
      <c r="B913" s="149"/>
      <c r="C913" s="155"/>
      <c r="D913" s="156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>
      <c r="A914" s="149"/>
      <c r="B914" s="149"/>
      <c r="C914" s="155"/>
      <c r="D914" s="156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>
      <c r="A915" s="149"/>
      <c r="B915" s="149"/>
      <c r="C915" s="155"/>
      <c r="D915" s="156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>
      <c r="A916" s="149"/>
      <c r="B916" s="149"/>
      <c r="C916" s="155"/>
      <c r="D916" s="156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>
      <c r="A917" s="149"/>
      <c r="B917" s="149"/>
      <c r="C917" s="155"/>
      <c r="D917" s="156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>
      <c r="A918" s="149"/>
      <c r="B918" s="149"/>
      <c r="C918" s="155"/>
      <c r="D918" s="156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>
      <c r="A919" s="149"/>
      <c r="B919" s="149"/>
      <c r="C919" s="155"/>
      <c r="D919" s="156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>
      <c r="A920" s="149"/>
      <c r="B920" s="149"/>
      <c r="C920" s="155"/>
      <c r="D920" s="156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>
      <c r="A921" s="149"/>
      <c r="B921" s="149"/>
      <c r="C921" s="155"/>
      <c r="D921" s="156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>
      <c r="A922" s="149"/>
      <c r="B922" s="149"/>
      <c r="C922" s="155"/>
      <c r="D922" s="156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>
      <c r="A923" s="149"/>
      <c r="B923" s="149"/>
      <c r="C923" s="155"/>
      <c r="D923" s="156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>
      <c r="A924" s="149"/>
      <c r="B924" s="149"/>
      <c r="C924" s="155"/>
      <c r="D924" s="156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>
      <c r="A925" s="149"/>
      <c r="B925" s="149"/>
      <c r="C925" s="155"/>
      <c r="D925" s="156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>
      <c r="A926" s="149"/>
      <c r="B926" s="149"/>
      <c r="C926" s="155"/>
      <c r="D926" s="156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>
      <c r="A927" s="149"/>
      <c r="B927" s="149"/>
      <c r="C927" s="155"/>
      <c r="D927" s="156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>
      <c r="A928" s="149"/>
      <c r="B928" s="149"/>
      <c r="C928" s="155"/>
      <c r="D928" s="156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>
      <c r="A929" s="149"/>
      <c r="B929" s="149"/>
      <c r="C929" s="155"/>
      <c r="D929" s="156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>
      <c r="A930" s="149"/>
      <c r="B930" s="149"/>
      <c r="C930" s="155"/>
      <c r="D930" s="156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>
      <c r="A931" s="149"/>
      <c r="B931" s="149"/>
      <c r="C931" s="155"/>
      <c r="D931" s="156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>
      <c r="A932" s="149"/>
      <c r="B932" s="149"/>
      <c r="C932" s="155"/>
      <c r="D932" s="156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>
      <c r="A933" s="149"/>
      <c r="B933" s="149"/>
      <c r="C933" s="155"/>
      <c r="D933" s="156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>
      <c r="A934" s="149"/>
      <c r="B934" s="149"/>
      <c r="C934" s="155"/>
      <c r="D934" s="156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>
      <c r="A935" s="149"/>
      <c r="B935" s="149"/>
      <c r="C935" s="155"/>
      <c r="D935" s="156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>
      <c r="A936" s="149"/>
      <c r="B936" s="149"/>
      <c r="C936" s="155"/>
      <c r="D936" s="156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>
      <c r="A937" s="149"/>
      <c r="B937" s="149"/>
      <c r="C937" s="155"/>
      <c r="D937" s="156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>
      <c r="A938" s="149"/>
      <c r="B938" s="149"/>
      <c r="C938" s="155"/>
      <c r="D938" s="156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>
      <c r="A939" s="149"/>
      <c r="B939" s="149"/>
      <c r="C939" s="155"/>
      <c r="D939" s="156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>
      <c r="A940" s="149"/>
      <c r="B940" s="149"/>
      <c r="C940" s="155"/>
      <c r="D940" s="156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>
      <c r="A941" s="149"/>
      <c r="B941" s="149"/>
      <c r="C941" s="155"/>
      <c r="D941" s="156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>
      <c r="A942" s="149"/>
      <c r="B942" s="149"/>
      <c r="C942" s="155"/>
      <c r="D942" s="156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>
      <c r="A943" s="149"/>
      <c r="B943" s="149"/>
      <c r="C943" s="155"/>
      <c r="D943" s="156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>
      <c r="A944" s="149"/>
      <c r="B944" s="149"/>
      <c r="C944" s="155"/>
      <c r="D944" s="156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>
      <c r="A945" s="149"/>
      <c r="B945" s="149"/>
      <c r="C945" s="155"/>
      <c r="D945" s="156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>
      <c r="A946" s="149"/>
      <c r="B946" s="149"/>
      <c r="C946" s="155"/>
      <c r="D946" s="156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>
      <c r="A947" s="149"/>
      <c r="B947" s="149"/>
      <c r="C947" s="155"/>
      <c r="D947" s="156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>
      <c r="A948" s="149"/>
      <c r="B948" s="149"/>
      <c r="C948" s="155"/>
      <c r="D948" s="156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>
      <c r="A949" s="149"/>
      <c r="B949" s="149"/>
      <c r="C949" s="155"/>
      <c r="D949" s="156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>
      <c r="A950" s="149"/>
      <c r="B950" s="149"/>
      <c r="C950" s="155"/>
      <c r="D950" s="156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>
      <c r="A951" s="149"/>
      <c r="B951" s="149"/>
      <c r="C951" s="155"/>
      <c r="D951" s="156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>
      <c r="A952" s="149"/>
      <c r="B952" s="149"/>
      <c r="C952" s="155"/>
      <c r="D952" s="156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>
      <c r="A953" s="149"/>
      <c r="B953" s="149"/>
      <c r="C953" s="155"/>
      <c r="D953" s="156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>
      <c r="A954" s="149"/>
      <c r="B954" s="149"/>
      <c r="C954" s="155"/>
      <c r="D954" s="156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>
      <c r="A955" s="149"/>
      <c r="B955" s="149"/>
      <c r="C955" s="155"/>
      <c r="D955" s="156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>
      <c r="A956" s="149"/>
      <c r="B956" s="149"/>
      <c r="C956" s="155"/>
      <c r="D956" s="156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>
      <c r="A957" s="149"/>
      <c r="B957" s="149"/>
      <c r="C957" s="155"/>
      <c r="D957" s="156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>
      <c r="A958" s="149"/>
      <c r="B958" s="149"/>
      <c r="C958" s="155"/>
      <c r="D958" s="156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>
      <c r="A959" s="149"/>
      <c r="B959" s="149"/>
      <c r="C959" s="155"/>
      <c r="D959" s="156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>
      <c r="A960" s="149"/>
      <c r="B960" s="149"/>
      <c r="C960" s="155"/>
      <c r="D960" s="156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>
      <c r="A961" s="149"/>
      <c r="B961" s="149"/>
      <c r="C961" s="155"/>
      <c r="D961" s="156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>
      <c r="A962" s="149"/>
      <c r="B962" s="149"/>
      <c r="C962" s="155"/>
      <c r="D962" s="156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>
      <c r="A963" s="149"/>
      <c r="B963" s="149"/>
      <c r="C963" s="155"/>
      <c r="D963" s="156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>
      <c r="A964" s="149"/>
      <c r="B964" s="149"/>
      <c r="C964" s="155"/>
      <c r="D964" s="156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>
      <c r="A965" s="149"/>
      <c r="B965" s="149"/>
      <c r="C965" s="155"/>
      <c r="D965" s="156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>
      <c r="A966" s="149"/>
      <c r="B966" s="149"/>
      <c r="C966" s="155"/>
      <c r="D966" s="156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>
      <c r="A967" s="149"/>
      <c r="B967" s="149"/>
      <c r="C967" s="155"/>
      <c r="D967" s="156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>
      <c r="A968" s="149"/>
      <c r="B968" s="149"/>
      <c r="C968" s="155"/>
      <c r="D968" s="156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>
      <c r="A969" s="149"/>
      <c r="B969" s="149"/>
      <c r="C969" s="155"/>
      <c r="D969" s="156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>
      <c r="A970" s="149"/>
      <c r="B970" s="149"/>
      <c r="C970" s="155"/>
      <c r="D970" s="156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>
      <c r="A971" s="149"/>
      <c r="B971" s="149"/>
      <c r="C971" s="155"/>
      <c r="D971" s="156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>
      <c r="A972" s="149"/>
      <c r="B972" s="149"/>
      <c r="C972" s="155"/>
      <c r="D972" s="156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>
      <c r="A973" s="149"/>
      <c r="B973" s="149"/>
      <c r="C973" s="155"/>
      <c r="D973" s="156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>
      <c r="A974" s="149"/>
      <c r="B974" s="149"/>
      <c r="C974" s="155"/>
      <c r="D974" s="156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>
      <c r="A975" s="149"/>
      <c r="B975" s="149"/>
      <c r="C975" s="155"/>
      <c r="D975" s="156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>
      <c r="A976" s="149"/>
      <c r="B976" s="149"/>
      <c r="C976" s="155"/>
      <c r="D976" s="156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>
      <c r="A977" s="149"/>
      <c r="B977" s="149"/>
      <c r="C977" s="155"/>
      <c r="D977" s="156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7" t="s">
        <v>314</v>
      </c>
      <c r="B1" s="178"/>
      <c r="C1" s="179"/>
      <c r="D1" s="180"/>
      <c r="E1" s="178"/>
      <c r="F1" s="178"/>
      <c r="G1" s="17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82" t="s">
        <v>315</v>
      </c>
      <c r="B3" s="182" t="s">
        <v>316</v>
      </c>
      <c r="C3" s="182" t="s">
        <v>317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 ht="15.75" customHeight="1">
      <c r="A4" s="183" t="s">
        <v>318</v>
      </c>
      <c r="B4" s="183" t="s">
        <v>319</v>
      </c>
      <c r="C4" s="183" t="s">
        <v>320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 ht="15.75" customHeight="1">
      <c r="A5" s="146" t="s">
        <v>321</v>
      </c>
      <c r="B5" s="146"/>
      <c r="C5" s="146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 ht="15.75" customHeight="1">
      <c r="A6" s="183" t="s">
        <v>322</v>
      </c>
      <c r="B6" s="183" t="s">
        <v>323</v>
      </c>
      <c r="C6" s="183" t="s">
        <v>320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 ht="15.75" customHeight="1">
      <c r="A7" s="184" t="s">
        <v>324</v>
      </c>
      <c r="B7" s="184"/>
      <c r="C7" s="184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 ht="15.75" customHeight="1">
      <c r="A8" s="183" t="s">
        <v>325</v>
      </c>
      <c r="B8" s="185" t="s">
        <v>326</v>
      </c>
      <c r="C8" s="185" t="s">
        <v>320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 ht="15.75" customHeight="1">
      <c r="A9" s="186" t="s">
        <v>327</v>
      </c>
      <c r="B9" s="187"/>
      <c r="C9" s="186" t="s">
        <v>320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 ht="15.7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 ht="15.75" customHeight="1">
      <c r="A11" s="181"/>
      <c r="B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 ht="15.7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 ht="15.75" customHeight="1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 ht="15.75" customHeight="1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 ht="15.75" customHeight="1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 ht="15.75" customHeight="1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ht="15.75" customHeight="1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 ht="15.75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 ht="15.75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 ht="15.7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 ht="15.7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 ht="15.7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 ht="15.7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 ht="15.7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 ht="15.7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 ht="15.7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 ht="15.7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 ht="15.7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 ht="15.7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 ht="15.7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 ht="15.75" customHeight="1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 ht="15.75" customHeight="1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ht="15.7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.7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 ht="15.75" customHeight="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 ht="15.7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 ht="15.7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 ht="15.75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 ht="15.75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 ht="15.7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 ht="15.7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 ht="15.7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 ht="15.7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 ht="15.7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 ht="15.7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 ht="15.7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 ht="15.7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 ht="15.7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 ht="15.7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 ht="15.7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 ht="15.7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 ht="15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 ht="15.7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 ht="15.7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 ht="15.7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 ht="15.75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 ht="15.75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 ht="15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 ht="15.75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 ht="15.75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 ht="15.75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 ht="15.75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 ht="15.75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 ht="15.7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 ht="15.7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 ht="15.7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 ht="15.75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 ht="15.75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 ht="15.75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 ht="15.7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 ht="15.7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 ht="15.75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 ht="15.75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 ht="15.75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 ht="15.75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 ht="15.75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 ht="15.75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 ht="15.75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 ht="15.75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 ht="15.75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 ht="15.75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 ht="15.75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 ht="15.75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 ht="15.75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 ht="15.75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 ht="15.75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 ht="15.75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 ht="15.7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 ht="15.7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 ht="15.75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 ht="15.7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 ht="15.75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 ht="15.75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 ht="15.75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 ht="15.75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 ht="15.75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 ht="15.75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 ht="15.75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 ht="15.7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 ht="15.7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 ht="15.7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 ht="15.75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 ht="15.75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 ht="15.75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 ht="15.75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 ht="15.75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 ht="15.75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 ht="15.75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 ht="15.75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 ht="15.75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 ht="15.75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 ht="15.75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 ht="15.75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 ht="15.75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 ht="15.75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 ht="15.75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 ht="15.75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 ht="15.75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 ht="15.75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 ht="15.75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 ht="15.75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 ht="15.75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 ht="15.75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 ht="15.75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 ht="15.75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 ht="15.75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 ht="15.75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 ht="15.75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 ht="15.75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 ht="15.75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 ht="15.75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 ht="15.75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 ht="15.75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 ht="15.75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 ht="15.75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 ht="15.75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 ht="15.75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 ht="15.75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 ht="15.75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 ht="15.75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 ht="15.75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 ht="15.75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 ht="15.75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 ht="15.75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 ht="15.75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 ht="15.75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 ht="15.75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 ht="15.75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 ht="15.75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 ht="15.75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 ht="15.75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 ht="15.75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 ht="15.75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 ht="15.75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 ht="15.75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 ht="15.75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 ht="15.75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 ht="15.75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 ht="15.75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 ht="15.75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 ht="15.75" customHeight="1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 ht="15.75" customHeight="1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 ht="15.75" customHeight="1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 ht="15.75" customHeight="1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 ht="15.75" customHeight="1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 ht="15.75" customHeight="1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 ht="15.75" customHeight="1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 ht="15.75" customHeight="1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 ht="15.75" customHeight="1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 ht="15.75" customHeight="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 ht="15.75" customHeight="1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 ht="15.75" customHeight="1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 ht="15.75" customHeight="1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 ht="15.75" customHeight="1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 ht="15.75" customHeight="1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 ht="15.75" customHeight="1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 ht="15.75" customHeight="1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 ht="15.75" customHeight="1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 ht="15.75" customHeight="1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 ht="15.75" customHeight="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 ht="15.75" customHeight="1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ht="15.75" customHeight="1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ht="15.75" customHeight="1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 ht="15.75" customHeight="1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 ht="15.75" customHeight="1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 ht="15.75" customHeight="1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 ht="15.75" customHeight="1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 ht="15.75" customHeight="1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 ht="15.75" customHeight="1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 ht="15.75" customHeight="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 ht="15.75" customHeight="1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 ht="15.75" customHeight="1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 ht="15.75" customHeight="1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 ht="15.75" customHeight="1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 ht="15.75" customHeight="1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 ht="15.75" customHeight="1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 ht="15.75" customHeight="1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 ht="15.75" customHeight="1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 ht="15.75" customHeight="1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 ht="15.75" customHeight="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 ht="15.75" customHeight="1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 ht="15.75" customHeight="1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 ht="15.75" customHeight="1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 ht="15.75" customHeight="1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 ht="15.75" customHeight="1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 ht="15.75" customHeight="1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 ht="15.75" customHeight="1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 ht="15.75" customHeight="1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 ht="15.75" customHeight="1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 ht="15.75" customHeight="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 ht="15.75" customHeight="1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 ht="15.75" customHeight="1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 ht="15.75" customHeight="1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 ht="15.75" customHeight="1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 ht="15.75" customHeight="1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 ht="15.75" customHeight="1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 ht="15.75" customHeight="1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 ht="15.75" customHeight="1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 ht="15.75" customHeight="1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 ht="15.75" customHeight="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 ht="15.75" customHeight="1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 ht="15.75" customHeight="1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 ht="15.75" customHeight="1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 ht="15.75" customHeight="1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 ht="15.75" customHeight="1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 ht="15.75" customHeight="1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 ht="15.75" customHeight="1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 ht="15.75" customHeight="1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 ht="15.75" customHeight="1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 ht="15.75" customHeight="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 ht="15.75" customHeight="1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 ht="15.75" customHeight="1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 ht="15.75" customHeight="1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 ht="15.75" customHeight="1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 ht="15.75" customHeight="1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 ht="15.75" customHeight="1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 ht="15.75" customHeight="1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 ht="15.75" customHeight="1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 ht="15.75" customHeight="1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 ht="15.75" customHeight="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 ht="15.75" customHeight="1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 ht="15.75" customHeight="1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 ht="15.75" customHeight="1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 ht="15.75" customHeight="1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 ht="15.75" customHeight="1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 ht="15.75" customHeight="1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 ht="15.75" customHeight="1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 ht="15.75" customHeight="1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 ht="15.75" customHeight="1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 ht="15.75" customHeight="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 ht="15.75" customHeight="1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 ht="15.75" customHeight="1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 ht="15.75" customHeight="1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 ht="15.75" customHeight="1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 ht="15.75" customHeight="1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 ht="15.75" customHeight="1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 ht="15.75" customHeight="1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 ht="15.75" customHeight="1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 ht="15.75" customHeight="1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 ht="15.75" customHeight="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 ht="15.75" customHeight="1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 ht="15.75" customHeight="1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 ht="15.75" customHeight="1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 ht="15.75" customHeight="1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 ht="15.75" customHeight="1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 ht="15.75" customHeight="1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 ht="15.75" customHeight="1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 ht="15.75" customHeight="1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 ht="15.75" customHeight="1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 ht="15.75" customHeight="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 ht="15.75" customHeight="1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 ht="15.75" customHeight="1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 ht="15.75" customHeight="1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 ht="15.75" customHeight="1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 ht="15.75" customHeight="1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 ht="15.75" customHeight="1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 ht="15.75" customHeight="1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 ht="15.75" customHeight="1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 ht="15.75" customHeight="1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 ht="15.75" customHeight="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 ht="15.75" customHeight="1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 ht="15.75" customHeight="1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 ht="15.75" customHeight="1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 ht="15.75" customHeight="1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 ht="15.75" customHeight="1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 ht="15.75" customHeight="1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 ht="15.75" customHeight="1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 ht="15.75" customHeight="1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 ht="15.75" customHeight="1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 ht="15.75" customHeight="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 ht="15.75" customHeight="1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 ht="15.75" customHeight="1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 ht="15.75" customHeight="1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 ht="15.75" customHeight="1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 ht="15.75" customHeight="1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 ht="15.75" customHeight="1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 ht="15.75" customHeight="1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 ht="15.75" customHeight="1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 ht="15.75" customHeight="1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 ht="15.75" customHeight="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 ht="15.75" customHeight="1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 ht="15.75" customHeight="1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 ht="15.75" customHeight="1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 ht="15.75" customHeight="1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 ht="15.75" customHeight="1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 ht="15.75" customHeight="1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 ht="15.75" customHeight="1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 ht="15.75" customHeight="1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 ht="15.75" customHeight="1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 ht="15.75" customHeight="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 ht="15.75" customHeight="1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 ht="15.75" customHeight="1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 ht="15.75" customHeight="1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 ht="15.75" customHeight="1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 ht="15.75" customHeight="1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 ht="15.75" customHeight="1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 ht="15.75" customHeight="1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 ht="15.75" customHeight="1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 ht="15.75" customHeight="1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 ht="15.75" customHeight="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 ht="15.75" customHeight="1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 ht="15.75" customHeight="1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 ht="15.75" customHeight="1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 ht="15.75" customHeight="1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 ht="15.75" customHeight="1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 ht="15.75" customHeight="1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 ht="15.75" customHeight="1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 ht="15.75" customHeight="1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 ht="15.75" customHeight="1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 ht="15.75" customHeight="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 ht="15.75" customHeight="1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 ht="15.75" customHeight="1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 ht="15.75" customHeight="1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 ht="15.75" customHeight="1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 ht="15.75" customHeight="1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 ht="15.75" customHeight="1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 ht="15.75" customHeight="1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 ht="15.75" customHeight="1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 ht="15.75" customHeight="1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 ht="15.75" customHeight="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 ht="15.75" customHeight="1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 ht="15.75" customHeight="1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 ht="15.75" customHeight="1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 ht="15.75" customHeight="1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 ht="15.75" customHeight="1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 ht="15.75" customHeight="1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 ht="15.75" customHeight="1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 ht="15.75" customHeight="1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 ht="15.75" customHeight="1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 ht="15.75" customHeight="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 ht="15.75" customHeight="1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 ht="15.75" customHeight="1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 ht="15.75" customHeight="1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 ht="15.75" customHeight="1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 ht="15.75" customHeight="1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 ht="15.75" customHeight="1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 ht="15.75" customHeight="1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 ht="15.75" customHeight="1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 ht="15.75" customHeight="1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 ht="15.75" customHeight="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 ht="15.75" customHeight="1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 ht="15.75" customHeight="1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 ht="15.75" customHeight="1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 ht="15.75" customHeight="1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 ht="15.75" customHeight="1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 ht="15.75" customHeight="1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 ht="15.75" customHeight="1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 ht="15.75" customHeight="1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 ht="15.75" customHeight="1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 ht="15.75" customHeight="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 ht="15.75" customHeight="1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 ht="15.75" customHeight="1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 ht="15.75" customHeight="1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 ht="15.75" customHeight="1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 ht="15.75" customHeight="1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 ht="15.75" customHeight="1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 ht="15.75" customHeight="1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 ht="15.75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 ht="15.75" customHeight="1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 ht="15.75" customHeight="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 ht="15.75" customHeight="1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 ht="15.75" customHeight="1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 ht="15.75" customHeight="1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 ht="15.75" customHeight="1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 ht="15.75" customHeight="1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 ht="15.75" customHeight="1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 ht="15.75" customHeight="1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 ht="15.75" customHeight="1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 ht="15.75" customHeight="1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 ht="15.75" customHeight="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 ht="15.75" customHeight="1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 ht="15.75" customHeight="1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 ht="15.75" customHeight="1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 ht="15.75" customHeight="1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 ht="15.75" customHeight="1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 ht="15.75" customHeight="1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 ht="15.75" customHeight="1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 ht="15.75" customHeight="1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 ht="15.75" customHeight="1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 ht="15.75" customHeight="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 ht="15.75" customHeight="1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 ht="15.75" customHeight="1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 ht="15.75" customHeight="1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 ht="15.75" customHeight="1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 ht="15.75" customHeight="1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 ht="15.75" customHeight="1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 ht="15.75" customHeight="1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 ht="15.75" customHeight="1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 ht="15.75" customHeight="1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 ht="15.75" customHeight="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 ht="15.75" customHeight="1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 ht="15.75" customHeight="1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 ht="15.75" customHeight="1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 ht="15.75" customHeight="1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 ht="15.75" customHeight="1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 ht="15.75" customHeight="1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 ht="15.75" customHeight="1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 ht="15.75" customHeight="1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 ht="15.75" customHeight="1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 ht="15.75" customHeight="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 ht="15.75" customHeight="1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 ht="15.75" customHeight="1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 ht="15.75" customHeight="1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 ht="15.75" customHeight="1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 ht="15.75" customHeight="1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 ht="15.75" customHeight="1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 ht="15.75" customHeight="1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 ht="15.75" customHeight="1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 ht="15.75" customHeight="1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 ht="15.75" customHeight="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 ht="15.75" customHeight="1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 ht="15.75" customHeight="1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 ht="15.75" customHeight="1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 ht="15.75" customHeight="1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 ht="15.75" customHeight="1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 ht="15.75" customHeight="1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 ht="15.75" customHeight="1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 ht="15.75" customHeight="1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 ht="15.75" customHeight="1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 ht="15.75" customHeight="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 ht="15.75" customHeight="1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 ht="15.75" customHeight="1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 ht="15.75" customHeight="1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 ht="15.75" customHeight="1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 ht="15.75" customHeight="1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 ht="15.75" customHeight="1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 ht="15.75" customHeight="1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 ht="15.75" customHeight="1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 ht="15.75" customHeight="1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 ht="15.75" customHeight="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 ht="15.75" customHeight="1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 ht="15.75" customHeight="1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 ht="15.75" customHeight="1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 ht="15.75" customHeight="1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 ht="15.75" customHeight="1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 ht="15.75" customHeight="1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 ht="15.75" customHeight="1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 ht="15.75" customHeight="1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 ht="15.75" customHeight="1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 ht="15.75" customHeight="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 ht="15.75" customHeight="1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 ht="15.75" customHeight="1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 ht="15.75" customHeight="1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 ht="15.75" customHeight="1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 ht="15.75" customHeight="1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 ht="15.75" customHeight="1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 ht="15.75" customHeight="1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 ht="15.75" customHeight="1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 ht="15.75" customHeight="1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 ht="15.75" customHeight="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 ht="15.75" customHeight="1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 ht="15.75" customHeight="1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 ht="15.75" customHeight="1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 ht="15.75" customHeight="1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 ht="15.75" customHeight="1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 ht="15.75" customHeight="1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 ht="15.75" customHeight="1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 ht="15.75" customHeight="1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 ht="15.75" customHeight="1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 ht="15.75" customHeight="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 ht="15.75" customHeight="1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 ht="15.75" customHeight="1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 ht="15.75" customHeight="1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 ht="15.75" customHeight="1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 ht="15.75" customHeight="1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 ht="15.75" customHeight="1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 ht="15.75" customHeight="1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 ht="15.75" customHeight="1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 ht="15.75" customHeight="1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 ht="15.75" customHeight="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 ht="15.75" customHeight="1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 ht="15.75" customHeight="1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 ht="15.75" customHeight="1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 ht="15.75" customHeight="1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 ht="15.75" customHeight="1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 ht="15.75" customHeight="1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 ht="15.75" customHeight="1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 ht="15.75" customHeight="1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 ht="15.75" customHeight="1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 ht="15.75" customHeight="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 ht="15.75" customHeight="1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 ht="15.75" customHeight="1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 ht="15.75" customHeight="1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 ht="15.75" customHeight="1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 ht="15.75" customHeight="1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 ht="15.75" customHeight="1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 ht="15.75" customHeight="1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 ht="15.75" customHeight="1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 ht="15.75" customHeight="1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 ht="15.75" customHeight="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 ht="15.75" customHeight="1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 ht="15.75" customHeight="1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 ht="15.75" customHeight="1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 ht="15.75" customHeight="1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 ht="15.75" customHeight="1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 ht="15.75" customHeight="1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 ht="15.75" customHeight="1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 ht="15.75" customHeight="1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 ht="15.75" customHeight="1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 ht="15.75" customHeight="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 ht="15.75" customHeight="1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 ht="15.75" customHeight="1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 ht="15.75" customHeight="1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 ht="15.75" customHeight="1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 ht="15.75" customHeight="1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 ht="15.75" customHeight="1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 ht="15.75" customHeight="1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 ht="15.75" customHeight="1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 ht="15.75" customHeight="1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 ht="15.75" customHeight="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 ht="15.75" customHeight="1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 ht="15.75" customHeight="1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 ht="15.75" customHeight="1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 ht="15.75" customHeight="1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 ht="15.75" customHeight="1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 ht="15.75" customHeight="1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 ht="15.75" customHeight="1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 ht="15.75" customHeight="1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 ht="15.75" customHeight="1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 ht="15.75" customHeight="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 ht="15.75" customHeight="1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 ht="15.75" customHeight="1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 ht="15.75" customHeight="1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 ht="15.75" customHeight="1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 ht="15.75" customHeight="1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 ht="15.75" customHeight="1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 ht="15.75" customHeight="1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 ht="15.75" customHeight="1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 ht="15.75" customHeight="1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 ht="15.75" customHeight="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 ht="15.75" customHeight="1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 ht="15.75" customHeight="1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 ht="15.75" customHeight="1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 ht="15.75" customHeight="1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 ht="15.75" customHeight="1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 ht="15.75" customHeight="1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 ht="15.75" customHeight="1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 ht="15.75" customHeight="1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 ht="15.75" customHeight="1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 ht="15.75" customHeight="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 ht="15.75" customHeight="1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 ht="15.75" customHeight="1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 ht="15.75" customHeight="1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 ht="15.75" customHeight="1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 ht="15.75" customHeight="1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 ht="15.75" customHeight="1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 ht="15.75" customHeight="1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 ht="15.75" customHeight="1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 ht="15.75" customHeight="1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 ht="15.75" customHeight="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 ht="15.75" customHeight="1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 ht="15.75" customHeight="1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 ht="15.75" customHeight="1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 ht="15.75" customHeight="1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 ht="15.75" customHeight="1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 ht="15.75" customHeight="1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 ht="15.75" customHeight="1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 ht="15.75" customHeight="1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 ht="15.75" customHeight="1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 ht="15.75" customHeight="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 ht="15.75" customHeight="1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 ht="15.75" customHeight="1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 ht="15.75" customHeight="1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 ht="15.75" customHeight="1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 ht="15.75" customHeight="1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 ht="15.75" customHeight="1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 ht="15.75" customHeight="1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 ht="15.75" customHeight="1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 ht="15.75" customHeight="1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 ht="15.75" customHeight="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 ht="15.75" customHeight="1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 ht="15.75" customHeight="1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 ht="15.75" customHeight="1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 ht="15.75" customHeight="1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 ht="15.75" customHeight="1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 ht="15.75" customHeight="1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 ht="15.75" customHeight="1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 ht="15.75" customHeight="1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 ht="15.75" customHeight="1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 ht="15.75" customHeight="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 ht="15.75" customHeight="1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 ht="15.75" customHeight="1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 ht="15.75" customHeight="1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 ht="15.75" customHeight="1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 ht="15.75" customHeight="1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 ht="15.75" customHeight="1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 ht="15.75" customHeight="1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 ht="15.75" customHeight="1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 ht="15.75" customHeight="1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 ht="15.75" customHeight="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 ht="15.75" customHeight="1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 ht="15.75" customHeight="1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 ht="15.75" customHeight="1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 ht="15.75" customHeight="1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 ht="15.75" customHeight="1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 ht="15.75" customHeight="1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 ht="15.75" customHeight="1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 ht="15.75" customHeight="1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 ht="15.75" customHeight="1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 ht="15.75" customHeight="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 ht="15.75" customHeight="1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 ht="15.75" customHeight="1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 ht="15.75" customHeight="1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 ht="15.75" customHeight="1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 ht="15.75" customHeight="1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 ht="15.75" customHeight="1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 ht="15.75" customHeight="1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 ht="15.75" customHeight="1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 ht="15.75" customHeight="1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 ht="15.75" customHeight="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 ht="15.75" customHeight="1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 ht="15.75" customHeight="1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 ht="15.75" customHeight="1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 ht="15.75" customHeight="1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 ht="15.75" customHeight="1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 ht="15.75" customHeight="1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 ht="15.75" customHeight="1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 ht="15.75" customHeight="1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 ht="15.75" customHeight="1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 ht="15.75" customHeight="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 ht="15.75" customHeight="1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 ht="15.75" customHeight="1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 ht="15.75" customHeight="1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 ht="15.75" customHeight="1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 ht="15.75" customHeight="1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 ht="15.75" customHeight="1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 ht="15.75" customHeight="1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 ht="15.75" customHeight="1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 ht="15.75" customHeight="1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 ht="15.75" customHeight="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 ht="15.75" customHeight="1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 ht="15.75" customHeight="1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 ht="15.75" customHeight="1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 ht="15.75" customHeight="1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 ht="15.75" customHeight="1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 ht="15.75" customHeight="1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 ht="15.75" customHeight="1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 ht="15.75" customHeight="1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 ht="15.75" customHeight="1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 ht="15.75" customHeight="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 ht="15.75" customHeight="1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 ht="15.75" customHeight="1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 ht="15.75" customHeight="1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 ht="15.75" customHeight="1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 ht="15.75" customHeight="1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 ht="15.75" customHeight="1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 ht="15.75" customHeight="1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 ht="15.75" customHeight="1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 ht="15.75" customHeight="1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 ht="15.75" customHeight="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 ht="15.75" customHeight="1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 ht="15.75" customHeight="1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 ht="15.75" customHeight="1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 ht="15.75" customHeight="1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 ht="15.75" customHeight="1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 ht="15.75" customHeight="1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 ht="15.75" customHeight="1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 ht="15.75" customHeight="1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 ht="15.75" customHeight="1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 ht="15.75" customHeight="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 ht="15.75" customHeight="1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 ht="15.75" customHeight="1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 ht="15.75" customHeight="1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 ht="15.75" customHeight="1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 ht="15.75" customHeight="1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 ht="15.75" customHeight="1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 ht="15.75" customHeight="1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 ht="15.75" customHeight="1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 ht="15.75" customHeight="1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 ht="15.75" customHeight="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 ht="15.75" customHeight="1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 ht="15.75" customHeight="1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 ht="15.75" customHeight="1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 ht="15.75" customHeight="1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 ht="15.75" customHeight="1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 ht="15.75" customHeight="1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 ht="15.75" customHeight="1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 ht="15.75" customHeight="1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 ht="15.75" customHeight="1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 ht="15.75" customHeight="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 ht="15.75" customHeight="1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 ht="15.75" customHeight="1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 ht="15.75" customHeight="1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 ht="15.75" customHeight="1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 ht="15.75" customHeight="1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 ht="15.75" customHeight="1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 ht="15.75" customHeight="1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 ht="15.75" customHeight="1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 ht="15.75" customHeight="1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 ht="15.75" customHeight="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 ht="15.75" customHeight="1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 ht="15.75" customHeight="1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 ht="15.75" customHeight="1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 ht="15.75" customHeight="1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 ht="15.75" customHeight="1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 ht="15.75" customHeight="1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 ht="15.75" customHeight="1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 ht="15.75" customHeight="1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 ht="15.75" customHeight="1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 ht="15.75" customHeight="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 ht="15.75" customHeight="1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 ht="15.75" customHeight="1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 ht="15.75" customHeight="1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 ht="15.75" customHeight="1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 ht="15.75" customHeight="1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 ht="15.75" customHeight="1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 ht="15.75" customHeight="1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 ht="15.75" customHeight="1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 ht="15.75" customHeight="1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 ht="15.75" customHeight="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 ht="15.75" customHeight="1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 ht="15.75" customHeight="1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 ht="15.75" customHeight="1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 ht="15.75" customHeight="1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 ht="15.75" customHeight="1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 ht="15.75" customHeight="1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 ht="15.75" customHeight="1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 ht="15.75" customHeight="1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 ht="15.75" customHeight="1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 ht="15.75" customHeight="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 ht="15.75" customHeight="1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 ht="15.75" customHeight="1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 ht="15.75" customHeight="1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 ht="15.75" customHeight="1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 ht="15.75" customHeight="1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 ht="15.75" customHeight="1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 ht="15.75" customHeight="1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 ht="15.75" customHeight="1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 ht="15.75" customHeight="1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 ht="15.75" customHeight="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 ht="15.75" customHeight="1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 ht="15.75" customHeight="1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 ht="15.75" customHeight="1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 ht="15.75" customHeight="1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 ht="15.75" customHeight="1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 ht="15.75" customHeight="1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 ht="15.75" customHeight="1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 ht="15.75" customHeight="1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 ht="15.75" customHeight="1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 ht="15.75" customHeight="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 ht="15.75" customHeight="1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 ht="15.75" customHeight="1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 ht="15.75" customHeight="1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 ht="15.75" customHeight="1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 ht="15.75" customHeight="1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 ht="15.75" customHeight="1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 ht="15.75" customHeight="1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 ht="15.75" customHeight="1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 ht="15.75" customHeight="1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 ht="15.75" customHeight="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 ht="15.75" customHeight="1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 ht="15.75" customHeight="1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 ht="15.75" customHeight="1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 ht="15.75" customHeight="1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 ht="15.75" customHeight="1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 ht="15.75" customHeight="1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 ht="15.75" customHeight="1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 ht="15.75" customHeight="1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 ht="15.75" customHeight="1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 ht="15.75" customHeight="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 ht="15.75" customHeight="1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 ht="15.75" customHeight="1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 ht="15.75" customHeight="1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 ht="15.75" customHeight="1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 ht="15.75" customHeight="1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 ht="15.75" customHeight="1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 ht="15.75" customHeight="1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 ht="15.75" customHeight="1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 ht="15.75" customHeight="1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 ht="15.75" customHeight="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 ht="15.75" customHeight="1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 ht="15.75" customHeight="1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 ht="15.75" customHeight="1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 ht="15.75" customHeight="1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 ht="15.75" customHeight="1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 ht="15.75" customHeight="1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 ht="15.75" customHeight="1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 ht="15.75" customHeight="1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 ht="15.75" customHeight="1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 ht="15.75" customHeight="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 ht="15.75" customHeight="1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 ht="15.75" customHeight="1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 ht="15.75" customHeight="1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 ht="15.75" customHeight="1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 ht="15.75" customHeight="1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 ht="15.75" customHeight="1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 ht="15.75" customHeight="1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 ht="15.75" customHeight="1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 ht="15.75" customHeight="1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 ht="15.75" customHeight="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 ht="15.75" customHeight="1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 ht="15.75" customHeight="1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 ht="15.75" customHeight="1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 ht="15.75" customHeight="1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 ht="15.75" customHeight="1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 ht="15.75" customHeight="1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 ht="15.75" customHeight="1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 ht="15.75" customHeight="1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 ht="15.75" customHeight="1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 ht="15.75" customHeight="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 ht="15.75" customHeight="1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 ht="15.75" customHeight="1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 ht="15.75" customHeight="1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 ht="15.75" customHeight="1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 ht="15.75" customHeight="1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 ht="15.75" customHeight="1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 ht="15.75" customHeight="1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 ht="15.75" customHeight="1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 ht="15.75" customHeight="1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 ht="15.75" customHeight="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 ht="15.75" customHeight="1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 ht="15.75" customHeight="1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 ht="15.75" customHeight="1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 ht="15.75" customHeight="1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 ht="15.75" customHeight="1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 ht="15.75" customHeight="1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 ht="15.75" customHeight="1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 ht="15.75" customHeight="1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 ht="15.75" customHeight="1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 ht="15.75" customHeight="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 ht="15.75" customHeight="1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 ht="15.75" customHeight="1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 ht="15.75" customHeight="1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 ht="15.75" customHeight="1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 ht="15.75" customHeight="1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 ht="15.75" customHeight="1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 ht="15.75" customHeight="1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 ht="15.75" customHeight="1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 ht="15.75" customHeight="1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 ht="15.75" customHeight="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 ht="15.75" customHeight="1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 ht="15.75" customHeight="1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 ht="15.75" customHeight="1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 ht="15.75" customHeight="1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 ht="15.75" customHeight="1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 ht="15.75" customHeight="1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 ht="15.75" customHeight="1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 ht="15.75" customHeight="1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 ht="15.75" customHeight="1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 ht="15.75" customHeight="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 ht="15.75" customHeight="1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 ht="15.75" customHeight="1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 ht="15.75" customHeight="1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 ht="15.75" customHeight="1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 ht="15.75" customHeight="1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 ht="15.75" customHeight="1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 ht="15.75" customHeight="1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 ht="15.75" customHeight="1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 ht="15.75" customHeight="1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 ht="15.75" customHeight="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 ht="15.75" customHeight="1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 ht="15.75" customHeight="1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 ht="15.75" customHeight="1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 ht="15.75" customHeight="1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 ht="15.75" customHeight="1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 ht="15.75" customHeight="1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 ht="15.75" customHeight="1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 ht="15.75" customHeight="1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 ht="15.75" customHeight="1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 ht="15.75" customHeight="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 ht="15.75" customHeight="1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 ht="15.75" customHeight="1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 ht="15.75" customHeight="1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 ht="15.75" customHeight="1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 ht="15.75" customHeight="1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 ht="15.75" customHeight="1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 ht="15.75" customHeight="1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 ht="15.75" customHeight="1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 ht="15.75" customHeight="1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 ht="15.75" customHeight="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 ht="15.75" customHeight="1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 ht="15.75" customHeight="1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 ht="15.75" customHeight="1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 ht="15.75" customHeight="1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 ht="15.75" customHeight="1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 ht="15.75" customHeight="1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 ht="15.75" customHeight="1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 ht="15.75" customHeight="1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 ht="15.75" customHeight="1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 ht="15.75" customHeight="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 ht="15.75" customHeight="1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 ht="15.75" customHeight="1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 ht="15.75" customHeight="1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8" t="s">
        <v>328</v>
      </c>
    </row>
    <row r="3">
      <c r="B3" s="189" t="s">
        <v>329</v>
      </c>
      <c r="C3" s="189" t="s">
        <v>330</v>
      </c>
      <c r="D3" s="190" t="s">
        <v>331</v>
      </c>
      <c r="E3" s="190" t="s">
        <v>332</v>
      </c>
    </row>
    <row r="4">
      <c r="B4" s="191">
        <v>1.0</v>
      </c>
      <c r="C4" s="192" t="s">
        <v>333</v>
      </c>
      <c r="D4" s="193" t="s">
        <v>334</v>
      </c>
      <c r="E4" s="194" t="s">
        <v>335</v>
      </c>
    </row>
    <row r="5">
      <c r="B5" s="195"/>
      <c r="C5" s="195"/>
      <c r="D5" s="193" t="s">
        <v>336</v>
      </c>
      <c r="E5" s="193" t="s">
        <v>337</v>
      </c>
    </row>
    <row r="6">
      <c r="B6" s="195"/>
      <c r="C6" s="195"/>
      <c r="D6" s="193" t="s">
        <v>338</v>
      </c>
      <c r="E6" s="193" t="s">
        <v>339</v>
      </c>
    </row>
    <row r="7">
      <c r="B7" s="195"/>
      <c r="C7" s="195"/>
      <c r="D7" s="193" t="s">
        <v>340</v>
      </c>
      <c r="E7" s="193"/>
    </row>
    <row r="8">
      <c r="B8" s="195"/>
      <c r="C8" s="195"/>
      <c r="D8" s="193"/>
      <c r="E8" s="193"/>
    </row>
    <row r="9">
      <c r="B9" s="195"/>
      <c r="C9" s="195"/>
      <c r="D9" s="193"/>
      <c r="E9" s="193"/>
    </row>
    <row r="10">
      <c r="B10" s="195"/>
      <c r="C10" s="195"/>
      <c r="D10" s="193"/>
      <c r="E10" s="193"/>
    </row>
    <row r="11">
      <c r="B11" s="195"/>
      <c r="C11" s="195"/>
      <c r="D11" s="193"/>
      <c r="E11" s="193"/>
    </row>
    <row r="12">
      <c r="B12" s="196"/>
      <c r="C12" s="196"/>
      <c r="D12" s="197"/>
      <c r="E12" s="197"/>
    </row>
    <row r="13">
      <c r="B13" s="191">
        <v>2.0</v>
      </c>
      <c r="C13" s="192" t="s">
        <v>219</v>
      </c>
      <c r="D13" s="193" t="s">
        <v>341</v>
      </c>
      <c r="E13" s="193" t="s">
        <v>342</v>
      </c>
    </row>
    <row r="14">
      <c r="B14" s="195"/>
      <c r="C14" s="195"/>
      <c r="D14" s="193" t="s">
        <v>343</v>
      </c>
      <c r="E14" s="193" t="s">
        <v>344</v>
      </c>
    </row>
    <row r="15">
      <c r="B15" s="195"/>
      <c r="C15" s="195"/>
      <c r="D15" s="193" t="s">
        <v>345</v>
      </c>
      <c r="E15" s="193" t="s">
        <v>346</v>
      </c>
    </row>
    <row r="16">
      <c r="B16" s="195"/>
      <c r="C16" s="195"/>
      <c r="D16" s="193"/>
      <c r="E16" s="193"/>
    </row>
    <row r="17">
      <c r="B17" s="195"/>
      <c r="C17" s="195"/>
      <c r="D17" s="193"/>
      <c r="E17" s="193"/>
    </row>
    <row r="18">
      <c r="B18" s="195"/>
      <c r="C18" s="195"/>
      <c r="D18" s="193"/>
      <c r="E18" s="193"/>
    </row>
    <row r="19">
      <c r="B19" s="195"/>
      <c r="C19" s="195"/>
      <c r="D19" s="193"/>
      <c r="E19" s="193"/>
    </row>
    <row r="20" ht="15.75" customHeight="1">
      <c r="B20" s="195"/>
      <c r="C20" s="195"/>
      <c r="D20" s="193"/>
      <c r="E20" s="193"/>
    </row>
    <row r="21" ht="15.75" customHeight="1">
      <c r="B21" s="196"/>
      <c r="C21" s="196"/>
      <c r="D21" s="193"/>
      <c r="E21" s="193"/>
    </row>
    <row r="22" ht="15.75" customHeight="1">
      <c r="B22" s="191">
        <v>3.0</v>
      </c>
      <c r="C22" s="192" t="s">
        <v>220</v>
      </c>
      <c r="D22" s="193" t="s">
        <v>347</v>
      </c>
      <c r="E22" s="193" t="s">
        <v>348</v>
      </c>
      <c r="H22" s="198"/>
    </row>
    <row r="23" ht="15.75" customHeight="1">
      <c r="B23" s="195"/>
      <c r="C23" s="195"/>
      <c r="D23" s="193" t="s">
        <v>349</v>
      </c>
      <c r="E23" s="193" t="s">
        <v>350</v>
      </c>
      <c r="H23" s="198"/>
    </row>
    <row r="24" ht="15.75" customHeight="1">
      <c r="B24" s="195"/>
      <c r="C24" s="195"/>
      <c r="D24" s="193" t="s">
        <v>351</v>
      </c>
      <c r="E24" s="193" t="s">
        <v>352</v>
      </c>
      <c r="H24" s="198"/>
    </row>
    <row r="25" ht="15.75" customHeight="1">
      <c r="B25" s="195"/>
      <c r="C25" s="195"/>
      <c r="D25" s="193"/>
      <c r="E25" s="193" t="s">
        <v>353</v>
      </c>
      <c r="H25" s="198"/>
    </row>
    <row r="26" ht="15.75" customHeight="1">
      <c r="B26" s="195"/>
      <c r="C26" s="195"/>
      <c r="D26" s="193"/>
      <c r="E26" s="193" t="s">
        <v>354</v>
      </c>
      <c r="H26" s="198"/>
    </row>
    <row r="27" ht="15.75" customHeight="1">
      <c r="B27" s="195"/>
      <c r="C27" s="195"/>
      <c r="D27" s="193"/>
      <c r="E27" s="193" t="s">
        <v>355</v>
      </c>
      <c r="H27" s="198"/>
    </row>
    <row r="28" ht="15.75" customHeight="1">
      <c r="B28" s="195"/>
      <c r="C28" s="195"/>
      <c r="D28" s="193"/>
      <c r="E28" s="193"/>
      <c r="H28" s="198"/>
    </row>
    <row r="29" ht="15.75" customHeight="1">
      <c r="B29" s="195"/>
      <c r="C29" s="195"/>
      <c r="D29" s="193"/>
      <c r="E29" s="193"/>
    </row>
    <row r="30" ht="15.75" customHeight="1">
      <c r="B30" s="195"/>
      <c r="C30" s="195"/>
      <c r="D30" s="193"/>
      <c r="E30" s="193"/>
    </row>
    <row r="31" ht="15.75" customHeight="1">
      <c r="B31" s="195"/>
      <c r="C31" s="195"/>
      <c r="D31" s="193"/>
      <c r="E31" s="193"/>
    </row>
    <row r="32" ht="15.75" customHeight="1">
      <c r="B32" s="195"/>
      <c r="C32" s="195"/>
      <c r="D32" s="193"/>
      <c r="E32" s="193"/>
    </row>
    <row r="33" ht="15.75" customHeight="1">
      <c r="B33" s="195"/>
      <c r="C33" s="195"/>
      <c r="D33" s="193"/>
      <c r="E33" s="193"/>
    </row>
    <row r="34" ht="15.75" customHeight="1">
      <c r="B34" s="195"/>
      <c r="C34" s="195"/>
      <c r="D34" s="193"/>
      <c r="E34" s="193"/>
    </row>
    <row r="35" ht="15.75" customHeight="1">
      <c r="B35" s="196"/>
      <c r="C35" s="196"/>
      <c r="D35" s="193"/>
      <c r="E35" s="193"/>
    </row>
    <row r="36" ht="15.75" customHeight="1">
      <c r="B36" s="191">
        <v>4.0</v>
      </c>
      <c r="C36" s="192" t="s">
        <v>221</v>
      </c>
      <c r="D36" s="193" t="s">
        <v>356</v>
      </c>
      <c r="E36" s="193" t="s">
        <v>357</v>
      </c>
    </row>
    <row r="37" ht="15.75" customHeight="1">
      <c r="B37" s="195"/>
      <c r="C37" s="195"/>
      <c r="D37" s="193" t="s">
        <v>358</v>
      </c>
      <c r="E37" s="193" t="s">
        <v>359</v>
      </c>
    </row>
    <row r="38" ht="15.75" customHeight="1">
      <c r="B38" s="195"/>
      <c r="C38" s="195"/>
      <c r="D38" s="193" t="s">
        <v>360</v>
      </c>
      <c r="E38" s="193" t="s">
        <v>361</v>
      </c>
    </row>
    <row r="39" ht="15.75" customHeight="1">
      <c r="B39" s="195"/>
      <c r="C39" s="195"/>
      <c r="D39" s="193"/>
      <c r="E39" s="193"/>
    </row>
    <row r="40" ht="15.75" customHeight="1">
      <c r="B40" s="195"/>
      <c r="C40" s="195"/>
      <c r="D40" s="193"/>
      <c r="E40" s="193"/>
    </row>
    <row r="41" ht="15.75" customHeight="1">
      <c r="B41" s="195"/>
      <c r="C41" s="195"/>
      <c r="D41" s="193"/>
      <c r="E41" s="193"/>
    </row>
    <row r="42" ht="15.75" customHeight="1">
      <c r="B42" s="195"/>
      <c r="C42" s="195"/>
      <c r="D42" s="193"/>
      <c r="E42" s="193"/>
    </row>
    <row r="43" ht="15.75" customHeight="1">
      <c r="B43" s="195"/>
      <c r="C43" s="195"/>
      <c r="D43" s="193"/>
      <c r="E43" s="193"/>
    </row>
    <row r="44" ht="15.75" customHeight="1">
      <c r="B44" s="196"/>
      <c r="C44" s="196"/>
      <c r="D44" s="193"/>
      <c r="E44" s="193"/>
    </row>
    <row r="45" ht="15.75" customHeight="1">
      <c r="B45" s="191">
        <v>5.0</v>
      </c>
      <c r="C45" s="192" t="s">
        <v>196</v>
      </c>
      <c r="D45" s="193" t="s">
        <v>362</v>
      </c>
      <c r="E45" s="193" t="s">
        <v>363</v>
      </c>
    </row>
    <row r="46" ht="15.75" customHeight="1">
      <c r="B46" s="195"/>
      <c r="C46" s="195"/>
      <c r="D46" s="193" t="s">
        <v>364</v>
      </c>
      <c r="E46" s="193" t="s">
        <v>365</v>
      </c>
    </row>
    <row r="47" ht="15.75" customHeight="1">
      <c r="B47" s="195"/>
      <c r="C47" s="195"/>
      <c r="D47" s="193"/>
      <c r="E47" s="193" t="s">
        <v>361</v>
      </c>
    </row>
    <row r="48" ht="15.75" customHeight="1">
      <c r="B48" s="195"/>
      <c r="C48" s="195"/>
      <c r="D48" s="193"/>
      <c r="E48" s="193"/>
    </row>
    <row r="49" ht="15.75" customHeight="1">
      <c r="B49" s="195"/>
      <c r="C49" s="195"/>
      <c r="D49" s="193"/>
      <c r="E49" s="193"/>
    </row>
    <row r="50" ht="15.75" customHeight="1">
      <c r="B50" s="195"/>
      <c r="C50" s="195"/>
      <c r="D50" s="193"/>
      <c r="E50" s="193"/>
    </row>
    <row r="51" ht="15.75" customHeight="1">
      <c r="B51" s="195"/>
      <c r="C51" s="195"/>
      <c r="D51" s="193"/>
      <c r="E51" s="193"/>
    </row>
    <row r="52" ht="15.75" customHeight="1">
      <c r="B52" s="195"/>
      <c r="C52" s="195"/>
      <c r="D52" s="193"/>
      <c r="E52" s="193"/>
    </row>
    <row r="53" ht="15.75" customHeight="1">
      <c r="B53" s="195"/>
      <c r="C53" s="195"/>
      <c r="D53" s="193"/>
      <c r="E53" s="193"/>
    </row>
    <row r="54" ht="15.75" customHeight="1">
      <c r="B54" s="196"/>
      <c r="C54" s="196"/>
      <c r="D54" s="193"/>
      <c r="E54" s="193"/>
    </row>
    <row r="55" ht="15.75" customHeight="1">
      <c r="B55" s="198"/>
      <c r="C55" s="198"/>
      <c r="D55" s="198"/>
      <c r="E55" s="198"/>
    </row>
    <row r="56" ht="15.75" customHeight="1">
      <c r="B56" s="198"/>
      <c r="C56" s="198"/>
      <c r="D56" s="198"/>
      <c r="E56" s="198"/>
    </row>
    <row r="57" ht="15.75" customHeight="1">
      <c r="B57" s="198"/>
      <c r="C57" s="198"/>
      <c r="D57" s="198"/>
      <c r="E57" s="198"/>
    </row>
    <row r="58" ht="15.75" customHeight="1">
      <c r="B58" s="198"/>
      <c r="C58" s="198"/>
      <c r="D58" s="198"/>
      <c r="E58" s="198"/>
    </row>
    <row r="59" ht="15.75" customHeight="1">
      <c r="B59" s="198"/>
      <c r="C59" s="198"/>
      <c r="D59" s="198"/>
      <c r="E59" s="198"/>
    </row>
    <row r="60" ht="15.75" customHeight="1">
      <c r="B60" s="198"/>
      <c r="C60" s="198"/>
      <c r="D60" s="198"/>
      <c r="E60" s="198"/>
    </row>
    <row r="61" ht="15.75" customHeight="1">
      <c r="B61" s="198"/>
      <c r="C61" s="198"/>
      <c r="D61" s="198"/>
      <c r="E61" s="198"/>
    </row>
    <row r="62" ht="15.75" customHeight="1">
      <c r="B62" s="198"/>
      <c r="C62" s="198"/>
      <c r="D62" s="198"/>
      <c r="E62" s="198"/>
    </row>
    <row r="63" ht="15.75" customHeight="1">
      <c r="B63" s="198"/>
      <c r="C63" s="198"/>
      <c r="D63" s="198"/>
      <c r="E63" s="198"/>
    </row>
    <row r="64" ht="15.75" customHeight="1">
      <c r="B64" s="198"/>
      <c r="C64" s="198"/>
      <c r="D64" s="198"/>
      <c r="E64" s="198"/>
    </row>
    <row r="65" ht="15.75" customHeight="1">
      <c r="B65" s="198"/>
      <c r="C65" s="198"/>
      <c r="D65" s="198"/>
      <c r="E65" s="198"/>
    </row>
    <row r="66" ht="15.75" customHeight="1">
      <c r="B66" s="198"/>
      <c r="C66" s="198"/>
      <c r="D66" s="198"/>
      <c r="E66" s="198"/>
    </row>
    <row r="67" ht="15.75" customHeight="1">
      <c r="B67" s="198"/>
      <c r="C67" s="198"/>
      <c r="D67" s="198"/>
      <c r="E67" s="198"/>
    </row>
    <row r="68" ht="15.75" customHeight="1">
      <c r="B68" s="198"/>
      <c r="C68" s="198"/>
      <c r="D68" s="198"/>
      <c r="E68" s="19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