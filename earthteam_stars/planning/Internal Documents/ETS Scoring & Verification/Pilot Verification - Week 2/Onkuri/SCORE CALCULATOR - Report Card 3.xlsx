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<sst xmlns="http://schemas.openxmlformats.org/spreadsheetml/2006/main" count="599" uniqueCount="363">
  <si>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</si>
  <si>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</si>
  <si>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</si>
  <si>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</si>
  <si>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</si>
  <si>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</si>
  <si>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</si>
  <si>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</si>
  <si>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</si>
  <si>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</si>
  <si>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</si>
  <si>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</si>
  <si>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</si>
  <si>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</si>
  <si>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</si>
  <si>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</si>
  <si>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</si>
  <si>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</si>
  <si>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</si>
  <si>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</si>
  <si>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</si>
  <si>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</si>
  <si>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</si>
  <si>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</si>
  <si>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</si>
  <si>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</si>
  <si>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</si>
  <si>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</si>
  <si>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</si>
  <si>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</si>
  <si>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</si>
  <si>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</si>
  <si>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</si>
  <si>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</si>
  <si>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</si>
  <si>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</si>
  <si>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</si>
  <si>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</si>
  <si>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</si>
  <si>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</si>
  <si>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</si>
  <si>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</si>
  <si>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</si>
  <si>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</si>
  <si>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</si>
  <si>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</si>
  <si>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</si>
  <si>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</si>
  <si>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</si>
  <si>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</si>
  <si>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</si>
  <si>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</si>
  <si>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</si>
  <si>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</si>
  <si>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</si>
  <si>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NO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</si>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</sst>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338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55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33" t="s">
        <v>55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348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33" t="s">
        <v>55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33" t="s">
        <v>55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33" t="s">
        <v>55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33" t="s">
        <v>55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5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79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4" t="s">
        <v>85</v>
      </c>
      <c r="D36" s="33" t="s">
        <v>55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33" t="s">
        <v>55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33" t="s">
        <v>55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92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33" t="s">
        <v>55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33" t="s">
        <v>55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4" t="s">
        <v>102</v>
      </c>
      <c r="D44" s="33" t="s">
        <v>55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103</v>
      </c>
      <c r="B46" s="71"/>
      <c r="C46" s="71"/>
      <c r="D46" s="72"/>
      <c r="E46" s="73">
        <f>SUM(E16+E24+E32+E39+E45)</f>
        <v>374</v>
      </c>
      <c r="F46" s="74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53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105</v>
      </c>
      <c r="D2" s="23" t="s">
        <v>106</v>
      </c>
      <c r="E2" s="79" t="s">
        <v>107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108</v>
      </c>
      <c r="C4" s="87" t="s">
        <v>109</v>
      </c>
      <c r="D4" s="88" t="s">
        <v>110</v>
      </c>
      <c r="E4" s="88" t="s">
        <v>111</v>
      </c>
      <c r="F4" s="88" t="s">
        <v>112</v>
      </c>
      <c r="G4" s="89" t="s">
        <v>113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114</v>
      </c>
      <c r="C5" s="91" t="s">
        <v>115</v>
      </c>
      <c r="D5" s="92">
        <v>0.0</v>
      </c>
      <c r="E5" s="93" t="s">
        <v>116</v>
      </c>
      <c r="F5" s="93">
        <v>10.0</v>
      </c>
      <c r="G5" s="94">
        <f t="shared" ref="G5:G7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117</v>
      </c>
      <c r="D6" s="92">
        <v>0.0</v>
      </c>
      <c r="E6" s="93" t="s">
        <v>118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119</v>
      </c>
      <c r="D7" s="92">
        <v>0.0</v>
      </c>
      <c r="E7" s="93" t="s">
        <v>116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 ht="14.25" customHeight="1">
      <c r="A8" s="76"/>
      <c r="B8" s="96"/>
      <c r="C8" s="97"/>
      <c r="D8" s="97"/>
      <c r="E8" s="97"/>
      <c r="F8" s="97" t="s">
        <v>120</v>
      </c>
      <c r="G8" s="98">
        <f>SUM(G5:G7)</f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>
      <c r="A9" s="76"/>
      <c r="B9" s="86" t="s">
        <v>121</v>
      </c>
      <c r="C9" s="87" t="s">
        <v>109</v>
      </c>
      <c r="D9" s="88" t="s">
        <v>110</v>
      </c>
      <c r="E9" s="88" t="s">
        <v>111</v>
      </c>
      <c r="F9" s="88" t="s">
        <v>112</v>
      </c>
      <c r="G9" s="89" t="s">
        <v>113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99" t="s">
        <v>122</v>
      </c>
      <c r="C10" s="100" t="s">
        <v>123</v>
      </c>
      <c r="D10" s="92">
        <v>0.0</v>
      </c>
      <c r="E10" s="93" t="s">
        <v>124</v>
      </c>
      <c r="F10" s="93">
        <v>10.0</v>
      </c>
      <c r="G10" s="94">
        <f t="shared" ref="G10:G14" si="2">D10*F10</f>
        <v>0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5"/>
      <c r="C11" s="100" t="s">
        <v>125</v>
      </c>
      <c r="D11" s="92">
        <v>0.0</v>
      </c>
      <c r="E11" s="93" t="s">
        <v>124</v>
      </c>
      <c r="F11" s="93">
        <v>10.0</v>
      </c>
      <c r="G11" s="94">
        <f t="shared" si="2"/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126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127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128</v>
      </c>
      <c r="D14" s="92">
        <v>0.0</v>
      </c>
      <c r="E14" s="93" t="s">
        <v>129</v>
      </c>
      <c r="F14" s="93">
        <v>45.0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 ht="17.25" customHeight="1">
      <c r="A15" s="76"/>
      <c r="B15" s="96"/>
      <c r="C15" s="97" t="s">
        <v>120</v>
      </c>
      <c r="G15" s="98">
        <f>SUM(G10:G14)</f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>
      <c r="A16" s="76"/>
      <c r="B16" s="86" t="s">
        <v>130</v>
      </c>
      <c r="C16" s="87" t="s">
        <v>109</v>
      </c>
      <c r="D16" s="88" t="s">
        <v>110</v>
      </c>
      <c r="E16" s="88" t="s">
        <v>111</v>
      </c>
      <c r="F16" s="88" t="s">
        <v>112</v>
      </c>
      <c r="G16" s="89" t="s">
        <v>113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90" t="s">
        <v>131</v>
      </c>
      <c r="C17" s="100" t="s">
        <v>132</v>
      </c>
      <c r="D17" s="92">
        <v>0.0</v>
      </c>
      <c r="E17" s="93" t="s">
        <v>124</v>
      </c>
      <c r="F17" s="93">
        <v>15.0</v>
      </c>
      <c r="G17" s="94">
        <f t="shared" ref="G17:G19" si="3">D17*F17</f>
        <v>0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5"/>
      <c r="C18" s="100" t="s">
        <v>133</v>
      </c>
      <c r="D18" s="92">
        <v>0.0</v>
      </c>
      <c r="E18" s="93" t="s">
        <v>124</v>
      </c>
      <c r="F18" s="93">
        <v>15.0</v>
      </c>
      <c r="G18" s="94">
        <f t="shared" si="3"/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91" t="s">
        <v>134</v>
      </c>
      <c r="D19" s="92">
        <v>0.0</v>
      </c>
      <c r="E19" s="93" t="s">
        <v>129</v>
      </c>
      <c r="F19" s="93">
        <v>200.0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101"/>
      <c r="C20" s="102" t="s">
        <v>120</v>
      </c>
      <c r="D20" s="103"/>
      <c r="E20" s="103"/>
      <c r="F20" s="103"/>
      <c r="G20" s="104">
        <f>SUM(G17:G19)</f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5"/>
      <c r="C21" s="78"/>
      <c r="D21" s="106"/>
      <c r="E21" s="107"/>
      <c r="F21" s="107"/>
      <c r="G21" s="10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8" t="s">
        <v>6</v>
      </c>
      <c r="C22" s="80"/>
      <c r="D22" s="109"/>
      <c r="E22" s="110"/>
      <c r="F22" s="110"/>
      <c r="G22" s="111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 hidden="1">
      <c r="A23" s="76"/>
      <c r="B23" s="112"/>
      <c r="C23" s="78"/>
      <c r="D23" s="106"/>
      <c r="E23" s="107"/>
      <c r="F23" s="107"/>
      <c r="G23" s="113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>
      <c r="A24" s="76"/>
      <c r="B24" s="86" t="s">
        <v>108</v>
      </c>
      <c r="C24" s="87" t="s">
        <v>109</v>
      </c>
      <c r="D24" s="88" t="s">
        <v>110</v>
      </c>
      <c r="E24" s="88" t="s">
        <v>111</v>
      </c>
      <c r="F24" s="88" t="s">
        <v>112</v>
      </c>
      <c r="G24" s="89" t="s">
        <v>113</v>
      </c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76"/>
      <c r="B25" s="90" t="s">
        <v>135</v>
      </c>
      <c r="C25" s="91" t="s">
        <v>136</v>
      </c>
      <c r="D25" s="92">
        <v>0.0</v>
      </c>
      <c r="E25" s="93" t="s">
        <v>116</v>
      </c>
      <c r="F25" s="93">
        <v>10.0</v>
      </c>
      <c r="G25" s="94">
        <f t="shared" ref="G25:G32" si="4">D25*F25</f>
        <v>0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</row>
    <row r="26">
      <c r="A26" s="76"/>
      <c r="B26" s="95"/>
      <c r="C26" s="91" t="s">
        <v>137</v>
      </c>
      <c r="D26" s="92">
        <v>0.0</v>
      </c>
      <c r="E26" s="93" t="s">
        <v>116</v>
      </c>
      <c r="F26" s="93">
        <v>1.0</v>
      </c>
      <c r="G26" s="94">
        <f t="shared" si="4"/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138</v>
      </c>
      <c r="D27" s="92">
        <v>0.0</v>
      </c>
      <c r="E27" s="93" t="s">
        <v>116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139</v>
      </c>
      <c r="D28" s="92">
        <v>0.0</v>
      </c>
      <c r="E28" s="93" t="s">
        <v>116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140</v>
      </c>
      <c r="D29" s="92">
        <v>0.0</v>
      </c>
      <c r="E29" s="93" t="s">
        <v>116</v>
      </c>
      <c r="F29" s="93">
        <v>10.0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141</v>
      </c>
      <c r="D30" s="92">
        <v>0.0</v>
      </c>
      <c r="E30" s="93" t="s">
        <v>116</v>
      </c>
      <c r="F30" s="93">
        <v>5.0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142</v>
      </c>
      <c r="D31" s="92">
        <v>0.0</v>
      </c>
      <c r="E31" s="93" t="s">
        <v>116</v>
      </c>
      <c r="F31" s="93">
        <v>10.0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143</v>
      </c>
      <c r="D32" s="92">
        <v>0.0</v>
      </c>
      <c r="E32" s="93" t="s">
        <v>116</v>
      </c>
      <c r="F32" s="93">
        <v>25.0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 ht="15.75" customHeight="1">
      <c r="A33" s="76"/>
      <c r="B33" s="96"/>
      <c r="C33" s="97" t="s">
        <v>120</v>
      </c>
      <c r="G33" s="98">
        <f>SUM(G25:G32)</f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>
      <c r="A34" s="76"/>
      <c r="B34" s="86" t="s">
        <v>121</v>
      </c>
      <c r="C34" s="87" t="s">
        <v>109</v>
      </c>
      <c r="D34" s="88" t="s">
        <v>110</v>
      </c>
      <c r="E34" s="88" t="s">
        <v>111</v>
      </c>
      <c r="F34" s="88" t="s">
        <v>112</v>
      </c>
      <c r="G34" s="89" t="s">
        <v>113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 ht="18.75" customHeight="1">
      <c r="A35" s="76"/>
      <c r="B35" s="99" t="s">
        <v>144</v>
      </c>
      <c r="C35" s="100" t="s">
        <v>145</v>
      </c>
      <c r="D35" s="92">
        <v>0.0</v>
      </c>
      <c r="E35" s="93" t="s">
        <v>124</v>
      </c>
      <c r="F35" s="93">
        <v>10.0</v>
      </c>
      <c r="G35" s="94">
        <f t="shared" ref="G35:G38" si="5">D35*F35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5"/>
      <c r="C36" s="100" t="s">
        <v>146</v>
      </c>
      <c r="D36" s="92">
        <v>0.0</v>
      </c>
      <c r="E36" s="93" t="s">
        <v>124</v>
      </c>
      <c r="F36" s="93">
        <v>10.0</v>
      </c>
      <c r="G36" s="94">
        <f t="shared" si="5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147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148</v>
      </c>
      <c r="D38" s="92">
        <v>0.0</v>
      </c>
      <c r="E38" s="93" t="s">
        <v>129</v>
      </c>
      <c r="F38" s="93">
        <v>45.0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5.0" customHeight="1">
      <c r="A39" s="76"/>
      <c r="B39" s="96"/>
      <c r="C39" s="97" t="s">
        <v>120</v>
      </c>
      <c r="G39" s="98">
        <f>SUM(G35:G38)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>
      <c r="A40" s="76"/>
      <c r="B40" s="86" t="s">
        <v>130</v>
      </c>
      <c r="C40" s="87" t="s">
        <v>109</v>
      </c>
      <c r="D40" s="88" t="s">
        <v>110</v>
      </c>
      <c r="E40" s="88" t="s">
        <v>111</v>
      </c>
      <c r="F40" s="88" t="s">
        <v>112</v>
      </c>
      <c r="G40" s="89" t="s">
        <v>113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90" t="s">
        <v>149</v>
      </c>
      <c r="C41" s="100" t="s">
        <v>150</v>
      </c>
      <c r="D41" s="92">
        <v>0.0</v>
      </c>
      <c r="E41" s="93" t="s">
        <v>124</v>
      </c>
      <c r="F41" s="93">
        <v>15.0</v>
      </c>
      <c r="G41" s="94">
        <f t="shared" ref="G41:G44" si="6">D41*F41</f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5"/>
      <c r="C42" s="100" t="s">
        <v>151</v>
      </c>
      <c r="D42" s="92">
        <v>0.0</v>
      </c>
      <c r="E42" s="93" t="s">
        <v>124</v>
      </c>
      <c r="F42" s="93">
        <v>15.0</v>
      </c>
      <c r="G42" s="94">
        <f t="shared" si="6"/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152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153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101"/>
      <c r="C45" s="102" t="s">
        <v>120</v>
      </c>
      <c r="D45" s="103"/>
      <c r="E45" s="103"/>
      <c r="F45" s="103"/>
      <c r="G45" s="104">
        <f>SUM(G41:G44)</f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78"/>
      <c r="C46" s="78"/>
      <c r="D46" s="78"/>
      <c r="E46" s="107"/>
      <c r="F46" s="107"/>
      <c r="G46" s="10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114" t="s">
        <v>8</v>
      </c>
      <c r="C47" s="80"/>
      <c r="D47" s="115"/>
      <c r="E47" s="110"/>
      <c r="F47" s="110"/>
      <c r="G47" s="111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86" t="s">
        <v>108</v>
      </c>
      <c r="C48" s="87" t="s">
        <v>109</v>
      </c>
      <c r="D48" s="88" t="s">
        <v>110</v>
      </c>
      <c r="E48" s="88" t="s">
        <v>111</v>
      </c>
      <c r="F48" s="88" t="s">
        <v>112</v>
      </c>
      <c r="G48" s="89" t="s">
        <v>113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90" t="s">
        <v>154</v>
      </c>
      <c r="C49" s="91" t="s">
        <v>155</v>
      </c>
      <c r="D49" s="92">
        <v>0.0</v>
      </c>
      <c r="E49" s="93" t="s">
        <v>116</v>
      </c>
      <c r="F49" s="93">
        <v>1.0</v>
      </c>
      <c r="G49" s="94">
        <f t="shared" ref="G49:G54" si="7">D49*F49</f>
        <v>0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5"/>
      <c r="C50" s="116" t="s">
        <v>156</v>
      </c>
      <c r="D50" s="92">
        <v>0.0</v>
      </c>
      <c r="E50" s="93" t="s">
        <v>116</v>
      </c>
      <c r="F50" s="93">
        <v>1.0</v>
      </c>
      <c r="G50" s="94">
        <f t="shared" si="7"/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91" t="s">
        <v>157</v>
      </c>
      <c r="D51" s="92">
        <v>0.0</v>
      </c>
      <c r="E51" s="93" t="s">
        <v>116</v>
      </c>
      <c r="F51" s="93">
        <v>10.0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117" t="s">
        <v>158</v>
      </c>
      <c r="D52" s="92">
        <v>0.0</v>
      </c>
      <c r="E52" s="93" t="s">
        <v>116</v>
      </c>
      <c r="F52" s="93">
        <v>25.0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159</v>
      </c>
      <c r="D53" s="92">
        <v>0.0</v>
      </c>
      <c r="E53" s="93" t="s">
        <v>116</v>
      </c>
      <c r="F53" s="93">
        <v>50.0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00" t="s">
        <v>160</v>
      </c>
      <c r="D54" s="92">
        <v>0.0</v>
      </c>
      <c r="E54" s="93" t="s">
        <v>116</v>
      </c>
      <c r="F54" s="93">
        <v>0.2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6"/>
      <c r="C55" s="97" t="s">
        <v>120</v>
      </c>
      <c r="G55" s="98">
        <f>SUM(G49:G54)</f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86" t="s">
        <v>121</v>
      </c>
      <c r="C56" s="87" t="s">
        <v>109</v>
      </c>
      <c r="D56" s="88" t="s">
        <v>110</v>
      </c>
      <c r="E56" s="88" t="s">
        <v>111</v>
      </c>
      <c r="F56" s="88" t="s">
        <v>112</v>
      </c>
      <c r="G56" s="89" t="s">
        <v>113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</row>
    <row r="57">
      <c r="A57" s="76"/>
      <c r="B57" s="99" t="s">
        <v>161</v>
      </c>
      <c r="C57" s="100" t="s">
        <v>162</v>
      </c>
      <c r="D57" s="92">
        <v>0.0</v>
      </c>
      <c r="E57" s="93" t="s">
        <v>124</v>
      </c>
      <c r="F57" s="93">
        <v>10.0</v>
      </c>
      <c r="G57" s="94">
        <f t="shared" ref="G57:G62" si="8">D57*F57</f>
        <v>0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5"/>
      <c r="C58" s="100" t="s">
        <v>163</v>
      </c>
      <c r="D58" s="92">
        <v>0.0</v>
      </c>
      <c r="E58" s="93" t="s">
        <v>124</v>
      </c>
      <c r="F58" s="93">
        <v>10.0</v>
      </c>
      <c r="G58" s="94">
        <f t="shared" si="8"/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164</v>
      </c>
      <c r="D59" s="92">
        <v>0.0</v>
      </c>
      <c r="E59" s="93" t="s">
        <v>129</v>
      </c>
      <c r="F59" s="93">
        <v>100.0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165</v>
      </c>
      <c r="D60" s="92">
        <v>0.0</v>
      </c>
      <c r="E60" s="93" t="s">
        <v>124</v>
      </c>
      <c r="F60" s="93">
        <v>10.0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166</v>
      </c>
      <c r="D61" s="92">
        <v>0.0</v>
      </c>
      <c r="E61" s="93" t="s">
        <v>129</v>
      </c>
      <c r="F61" s="93">
        <v>100.0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167</v>
      </c>
      <c r="D62" s="92">
        <v>0.0</v>
      </c>
      <c r="E62" s="93" t="s">
        <v>116</v>
      </c>
      <c r="F62" s="93">
        <v>150.0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6"/>
      <c r="C63" s="97" t="s">
        <v>120</v>
      </c>
      <c r="G63" s="98">
        <f>SUM(G57:G62)</f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86" t="s">
        <v>130</v>
      </c>
      <c r="C64" s="87" t="s">
        <v>109</v>
      </c>
      <c r="D64" s="88" t="s">
        <v>110</v>
      </c>
      <c r="E64" s="88" t="s">
        <v>111</v>
      </c>
      <c r="F64" s="88" t="s">
        <v>112</v>
      </c>
      <c r="G64" s="89" t="s">
        <v>113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90" t="s">
        <v>168</v>
      </c>
      <c r="C65" s="100" t="s">
        <v>169</v>
      </c>
      <c r="D65" s="92">
        <v>0.0</v>
      </c>
      <c r="E65" s="93" t="s">
        <v>129</v>
      </c>
      <c r="F65" s="93">
        <v>200.0</v>
      </c>
      <c r="G65" s="94">
        <f t="shared" ref="G65:G67" si="9">D65*F65</f>
        <v>0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5"/>
      <c r="C66" s="100" t="s">
        <v>170</v>
      </c>
      <c r="D66" s="92">
        <v>0.0</v>
      </c>
      <c r="E66" s="93" t="s">
        <v>129</v>
      </c>
      <c r="F66" s="93">
        <v>500.0</v>
      </c>
      <c r="G66" s="94">
        <f t="shared" si="9"/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171</v>
      </c>
      <c r="D67" s="92">
        <v>0.0</v>
      </c>
      <c r="E67" s="93" t="s">
        <v>124</v>
      </c>
      <c r="F67" s="93">
        <v>15.0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101"/>
      <c r="C68" s="102" t="s">
        <v>120</v>
      </c>
      <c r="D68" s="103"/>
      <c r="E68" s="103"/>
      <c r="F68" s="103"/>
      <c r="G68" s="104">
        <f>SUM(G65:G67)</f>
        <v>0</v>
      </c>
      <c r="H68" s="11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78"/>
      <c r="C69" s="78"/>
      <c r="D69" s="106"/>
      <c r="E69" s="107"/>
      <c r="F69" s="107"/>
      <c r="G69" s="107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119" t="s">
        <v>172</v>
      </c>
      <c r="C70" s="80"/>
      <c r="D70" s="120"/>
      <c r="E70" s="120"/>
      <c r="F70" s="120"/>
      <c r="G70" s="121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22" t="s">
        <v>108</v>
      </c>
      <c r="C71" s="123" t="s">
        <v>109</v>
      </c>
      <c r="D71" s="124" t="s">
        <v>110</v>
      </c>
      <c r="E71" s="124" t="s">
        <v>111</v>
      </c>
      <c r="F71" s="124" t="s">
        <v>112</v>
      </c>
      <c r="G71" s="125" t="s">
        <v>113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6" t="s">
        <v>173</v>
      </c>
      <c r="C72" s="127" t="s">
        <v>174</v>
      </c>
      <c r="D72" s="128">
        <v>18.0</v>
      </c>
      <c r="E72" s="129" t="s">
        <v>116</v>
      </c>
      <c r="F72" s="130">
        <v>1.0</v>
      </c>
      <c r="G72" s="131">
        <f t="shared" ref="G72:G76" si="10">D72*F72</f>
        <v>18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95"/>
      <c r="C73" s="127" t="s">
        <v>175</v>
      </c>
      <c r="D73" s="128">
        <v>32.0</v>
      </c>
      <c r="E73" s="129" t="s">
        <v>116</v>
      </c>
      <c r="F73" s="130">
        <v>10.0</v>
      </c>
      <c r="G73" s="131">
        <f t="shared" si="10"/>
        <v>320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176</v>
      </c>
      <c r="D74" s="132">
        <v>0.0</v>
      </c>
      <c r="E74" s="129" t="s">
        <v>124</v>
      </c>
      <c r="F74" s="130">
        <v>1.0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177</v>
      </c>
      <c r="D75" s="132">
        <v>0.0</v>
      </c>
      <c r="E75" s="129" t="s">
        <v>116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178</v>
      </c>
      <c r="D76" s="132">
        <v>0.0</v>
      </c>
      <c r="E76" s="129" t="s">
        <v>129</v>
      </c>
      <c r="F76" s="130">
        <v>10.0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133"/>
      <c r="C77" s="134" t="s">
        <v>120</v>
      </c>
      <c r="G77" s="135">
        <f>SUM(G72:G76)</f>
        <v>338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122" t="s">
        <v>121</v>
      </c>
      <c r="C78" s="123" t="s">
        <v>109</v>
      </c>
      <c r="D78" s="124" t="s">
        <v>110</v>
      </c>
      <c r="E78" s="124" t="s">
        <v>111</v>
      </c>
      <c r="F78" s="124" t="s">
        <v>112</v>
      </c>
      <c r="G78" s="125" t="s">
        <v>113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26" t="s">
        <v>179</v>
      </c>
      <c r="C79" s="136" t="s">
        <v>180</v>
      </c>
      <c r="D79" s="132">
        <v>0.0</v>
      </c>
      <c r="E79" s="129" t="s">
        <v>124</v>
      </c>
      <c r="F79" s="130">
        <v>10.0</v>
      </c>
      <c r="G79" s="131">
        <f t="shared" ref="G79:G85" si="11">D79*F79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95"/>
      <c r="C80" s="136" t="s">
        <v>181</v>
      </c>
      <c r="D80" s="132">
        <v>0.0</v>
      </c>
      <c r="E80" s="129" t="s">
        <v>124</v>
      </c>
      <c r="F80" s="130">
        <v>10.0</v>
      </c>
      <c r="G80" s="131">
        <f t="shared" si="11"/>
        <v>0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95"/>
      <c r="C81" s="136" t="s">
        <v>182</v>
      </c>
      <c r="D81" s="132">
        <v>0.0</v>
      </c>
      <c r="E81" s="129" t="s">
        <v>124</v>
      </c>
      <c r="F81" s="130">
        <v>10.0</v>
      </c>
      <c r="G81" s="131">
        <f t="shared" si="11"/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6" t="s">
        <v>183</v>
      </c>
      <c r="D82" s="132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6" t="s">
        <v>184</v>
      </c>
      <c r="D83" s="132">
        <v>0.0</v>
      </c>
      <c r="E83" s="129" t="s">
        <v>129</v>
      </c>
      <c r="F83" s="130">
        <v>45.0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6" t="s">
        <v>185</v>
      </c>
      <c r="D84" s="132">
        <v>0.0</v>
      </c>
      <c r="E84" s="129" t="s">
        <v>116</v>
      </c>
      <c r="F84" s="130">
        <v>5.0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6" t="s">
        <v>186</v>
      </c>
      <c r="D85" s="132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133"/>
      <c r="C86" s="134" t="s">
        <v>120</v>
      </c>
      <c r="G86" s="135">
        <f>SUM(G79:G85)</f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122" t="s">
        <v>130</v>
      </c>
      <c r="C87" s="123" t="s">
        <v>109</v>
      </c>
      <c r="D87" s="124" t="s">
        <v>110</v>
      </c>
      <c r="E87" s="124" t="s">
        <v>111</v>
      </c>
      <c r="F87" s="124" t="s">
        <v>112</v>
      </c>
      <c r="G87" s="125" t="s">
        <v>113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8"/>
      <c r="B88" s="126" t="s">
        <v>187</v>
      </c>
      <c r="C88" s="136" t="s">
        <v>188</v>
      </c>
      <c r="D88" s="132">
        <v>0.0</v>
      </c>
      <c r="E88" s="129" t="s">
        <v>124</v>
      </c>
      <c r="F88" s="130">
        <v>15.0</v>
      </c>
      <c r="G88" s="131">
        <f t="shared" ref="G88:G92" si="12">D88*F88</f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8"/>
      <c r="B89" s="95"/>
      <c r="C89" s="136" t="s">
        <v>189</v>
      </c>
      <c r="D89" s="132">
        <v>0.0</v>
      </c>
      <c r="E89" s="129" t="s">
        <v>124</v>
      </c>
      <c r="F89" s="130">
        <v>15.0</v>
      </c>
      <c r="G89" s="131">
        <f t="shared" si="12"/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8"/>
      <c r="B90" s="95"/>
      <c r="C90" s="136" t="s">
        <v>190</v>
      </c>
      <c r="D90" s="132">
        <v>0.0</v>
      </c>
      <c r="E90" s="129" t="s">
        <v>129</v>
      </c>
      <c r="F90" s="130">
        <v>200.0</v>
      </c>
      <c r="G90" s="131">
        <f t="shared" si="12"/>
        <v>0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95"/>
      <c r="C91" s="136" t="s">
        <v>191</v>
      </c>
      <c r="D91" s="132">
        <v>0.0</v>
      </c>
      <c r="E91" s="129" t="s">
        <v>124</v>
      </c>
      <c r="F91" s="130">
        <v>15.0</v>
      </c>
      <c r="G91" s="131">
        <f t="shared" si="12"/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6" t="s">
        <v>192</v>
      </c>
      <c r="D92" s="132">
        <v>0.0</v>
      </c>
      <c r="E92" s="129" t="s">
        <v>124</v>
      </c>
      <c r="F92" s="130">
        <v>100.0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137"/>
      <c r="C93" s="138" t="s">
        <v>120</v>
      </c>
      <c r="D93" s="103"/>
      <c r="E93" s="103"/>
      <c r="F93" s="103"/>
      <c r="G93" s="139">
        <f>SUM(G88:G92)</f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140"/>
      <c r="C94" s="140"/>
      <c r="D94" s="140"/>
      <c r="E94" s="140"/>
      <c r="F94" s="140"/>
      <c r="G94" s="140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141" t="s">
        <v>193</v>
      </c>
      <c r="C95" s="80"/>
      <c r="D95" s="120"/>
      <c r="E95" s="120"/>
      <c r="F95" s="120"/>
      <c r="G95" s="121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22" t="s">
        <v>108</v>
      </c>
      <c r="C96" s="123" t="s">
        <v>109</v>
      </c>
      <c r="D96" s="124" t="s">
        <v>110</v>
      </c>
      <c r="E96" s="124" t="s">
        <v>111</v>
      </c>
      <c r="F96" s="124" t="s">
        <v>112</v>
      </c>
      <c r="G96" s="125" t="s">
        <v>113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26" t="s">
        <v>135</v>
      </c>
      <c r="C97" s="127" t="s">
        <v>194</v>
      </c>
      <c r="D97" s="132">
        <v>0.0</v>
      </c>
      <c r="E97" s="129" t="s">
        <v>116</v>
      </c>
      <c r="F97" s="130">
        <v>2.0</v>
      </c>
      <c r="G97" s="131">
        <f t="shared" ref="G97:G100" si="13">D97*F97</f>
        <v>0</v>
      </c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95"/>
      <c r="C98" s="127" t="s">
        <v>195</v>
      </c>
      <c r="D98" s="132">
        <v>0.0</v>
      </c>
      <c r="E98" s="129" t="s">
        <v>129</v>
      </c>
      <c r="F98" s="130">
        <v>25.0</v>
      </c>
      <c r="G98" s="131">
        <f t="shared" si="13"/>
        <v>0</v>
      </c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95"/>
      <c r="C99" s="127" t="s">
        <v>196</v>
      </c>
      <c r="D99" s="132">
        <v>0.0</v>
      </c>
      <c r="E99" s="129" t="s">
        <v>116</v>
      </c>
      <c r="F99" s="130">
        <v>1.0</v>
      </c>
      <c r="G99" s="131">
        <f t="shared" si="13"/>
        <v>0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95"/>
      <c r="C100" s="127" t="s">
        <v>197</v>
      </c>
      <c r="D100" s="132">
        <v>0.0</v>
      </c>
      <c r="E100" s="129" t="s">
        <v>129</v>
      </c>
      <c r="F100" s="130">
        <v>15.0</v>
      </c>
      <c r="G100" s="131">
        <f t="shared" si="13"/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133"/>
      <c r="C101" s="134" t="s">
        <v>120</v>
      </c>
      <c r="G101" s="135">
        <f>SUM(G97:G100)</f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122" t="s">
        <v>121</v>
      </c>
      <c r="C102" s="123" t="s">
        <v>109</v>
      </c>
      <c r="D102" s="124" t="s">
        <v>110</v>
      </c>
      <c r="E102" s="124" t="s">
        <v>111</v>
      </c>
      <c r="F102" s="124" t="s">
        <v>112</v>
      </c>
      <c r="G102" s="125" t="s">
        <v>113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126" t="s">
        <v>198</v>
      </c>
      <c r="C103" s="136" t="s">
        <v>199</v>
      </c>
      <c r="D103" s="132">
        <v>0.0</v>
      </c>
      <c r="E103" s="129" t="s">
        <v>124</v>
      </c>
      <c r="F103" s="130">
        <v>10.0</v>
      </c>
      <c r="G103" s="131">
        <f t="shared" ref="G103:G107" si="14">D103*F103</f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95"/>
      <c r="C104" s="136" t="s">
        <v>200</v>
      </c>
      <c r="D104" s="132">
        <v>0.0</v>
      </c>
      <c r="E104" s="129" t="s">
        <v>124</v>
      </c>
      <c r="F104" s="130">
        <v>10.0</v>
      </c>
      <c r="G104" s="131">
        <f t="shared" si="14"/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95"/>
      <c r="C105" s="136" t="s">
        <v>201</v>
      </c>
      <c r="D105" s="132">
        <v>0.0</v>
      </c>
      <c r="E105" s="129" t="s">
        <v>124</v>
      </c>
      <c r="F105" s="130">
        <v>10.0</v>
      </c>
      <c r="G105" s="131">
        <f t="shared" si="14"/>
        <v>0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95"/>
      <c r="C106" s="136" t="s">
        <v>202</v>
      </c>
      <c r="D106" s="132">
        <v>0.0</v>
      </c>
      <c r="E106" s="129" t="s">
        <v>116</v>
      </c>
      <c r="F106" s="130">
        <v>10.0</v>
      </c>
      <c r="G106" s="131">
        <f t="shared" si="14"/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6" t="s">
        <v>203</v>
      </c>
      <c r="D107" s="132">
        <v>0.0</v>
      </c>
      <c r="E107" s="129" t="s">
        <v>129</v>
      </c>
      <c r="F107" s="130">
        <v>45.0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133"/>
      <c r="C108" s="134" t="s">
        <v>120</v>
      </c>
      <c r="G108" s="135">
        <f>SUM(G103:G107)</f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122" t="s">
        <v>130</v>
      </c>
      <c r="C109" s="123" t="s">
        <v>109</v>
      </c>
      <c r="D109" s="124" t="s">
        <v>110</v>
      </c>
      <c r="E109" s="124" t="s">
        <v>111</v>
      </c>
      <c r="F109" s="124" t="s">
        <v>112</v>
      </c>
      <c r="G109" s="125" t="s">
        <v>113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126" t="s">
        <v>204</v>
      </c>
      <c r="C110" s="136" t="s">
        <v>205</v>
      </c>
      <c r="D110" s="132">
        <v>0.0</v>
      </c>
      <c r="E110" s="129" t="s">
        <v>124</v>
      </c>
      <c r="F110" s="130">
        <v>15.0</v>
      </c>
      <c r="G110" s="131">
        <f t="shared" ref="G110:G114" si="15">D110*F110</f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95"/>
      <c r="C111" s="136" t="s">
        <v>206</v>
      </c>
      <c r="D111" s="132">
        <v>0.0</v>
      </c>
      <c r="E111" s="129" t="s">
        <v>124</v>
      </c>
      <c r="F111" s="130">
        <v>15.0</v>
      </c>
      <c r="G111" s="131">
        <f t="shared" si="15"/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95"/>
      <c r="C112" s="136" t="s">
        <v>207</v>
      </c>
      <c r="D112" s="132">
        <v>0.0</v>
      </c>
      <c r="E112" s="129" t="s">
        <v>124</v>
      </c>
      <c r="F112" s="130">
        <v>50.0</v>
      </c>
      <c r="G112" s="131">
        <f t="shared" si="15"/>
        <v>0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95"/>
      <c r="C113" s="136" t="s">
        <v>208</v>
      </c>
      <c r="D113" s="132">
        <v>0.0</v>
      </c>
      <c r="E113" s="129" t="s">
        <v>124</v>
      </c>
      <c r="F113" s="130">
        <v>50.0</v>
      </c>
      <c r="G113" s="131">
        <f t="shared" si="15"/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6" t="s">
        <v>209</v>
      </c>
      <c r="D114" s="132">
        <v>0.0</v>
      </c>
      <c r="E114" s="129" t="s">
        <v>129</v>
      </c>
      <c r="F114" s="130">
        <v>250.0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137"/>
      <c r="C115" s="138" t="s">
        <v>120</v>
      </c>
      <c r="D115" s="103"/>
      <c r="E115" s="103"/>
      <c r="F115" s="103"/>
      <c r="G115" s="139">
        <f>SUM(G110:G114)</f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78"/>
      <c r="C116" s="78"/>
      <c r="D116" s="106"/>
      <c r="E116" s="107"/>
      <c r="F116" s="107"/>
      <c r="G116" s="107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78"/>
      <c r="C117" s="78"/>
      <c r="D117" s="106"/>
      <c r="E117" s="107"/>
      <c r="F117" s="107"/>
      <c r="G117" s="107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78"/>
      <c r="C118" s="78"/>
      <c r="D118" s="106"/>
      <c r="E118" s="107"/>
      <c r="F118" s="107"/>
      <c r="G118" s="107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210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211</v>
      </c>
      <c r="B4" s="144" t="s">
        <v>212</v>
      </c>
      <c r="C4" s="145" t="s">
        <v>213</v>
      </c>
      <c r="D4" s="145" t="s">
        <v>214</v>
      </c>
      <c r="E4" s="146" t="s">
        <v>215</v>
      </c>
      <c r="F4" s="146" t="s">
        <v>216</v>
      </c>
      <c r="G4" s="146" t="s">
        <v>217</v>
      </c>
      <c r="H4" s="146" t="s">
        <v>218</v>
      </c>
      <c r="I4" s="146" t="s">
        <v>193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38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219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220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221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222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223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224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225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226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227</v>
      </c>
      <c r="C15" s="153" t="b">
        <v>0</v>
      </c>
      <c r="D15" s="156">
        <v>10.0</v>
      </c>
      <c r="E15" s="155" t="s">
        <v>228</v>
      </c>
      <c r="F15" s="155" t="s">
        <v>229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230</v>
      </c>
      <c r="C16" s="153" t="b">
        <v>0</v>
      </c>
      <c r="D16" s="156">
        <v>10.0</v>
      </c>
      <c r="E16" s="155" t="s">
        <v>231</v>
      </c>
      <c r="F16" s="155" t="s">
        <v>232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233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234</v>
      </c>
      <c r="C19" s="153" t="b">
        <v>0</v>
      </c>
      <c r="D19" s="156">
        <v>10.0</v>
      </c>
      <c r="E19" s="155" t="s">
        <v>235</v>
      </c>
      <c r="F19" s="155" t="s">
        <v>236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237</v>
      </c>
      <c r="C20" s="153" t="b">
        <v>0</v>
      </c>
      <c r="D20" s="156">
        <v>10.0</v>
      </c>
      <c r="E20" s="155" t="s">
        <v>238</v>
      </c>
      <c r="F20" s="155" t="s">
        <v>239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240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241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242</v>
      </c>
      <c r="C24" s="153" t="b">
        <v>0</v>
      </c>
      <c r="D24" s="156">
        <v>10.0</v>
      </c>
      <c r="E24" s="155" t="s">
        <v>243</v>
      </c>
      <c r="F24" s="155" t="s">
        <v>244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245</v>
      </c>
      <c r="C25" s="153" t="b">
        <v>0</v>
      </c>
      <c r="D25" s="156">
        <v>10.0</v>
      </c>
      <c r="E25" s="155" t="s">
        <v>246</v>
      </c>
      <c r="F25" s="155" t="s">
        <v>247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248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249</v>
      </c>
      <c r="C28" s="153" t="b">
        <v>0</v>
      </c>
      <c r="D28" s="156">
        <v>10.0</v>
      </c>
      <c r="E28" s="155" t="s">
        <v>250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251</v>
      </c>
      <c r="C29" s="153" t="b">
        <v>0</v>
      </c>
      <c r="D29" s="156">
        <v>10.0</v>
      </c>
      <c r="E29" s="155" t="s">
        <v>252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253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254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255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256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257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258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259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260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261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262</v>
      </c>
      <c r="C43" s="153" t="b">
        <v>0</v>
      </c>
      <c r="D43" s="156">
        <v>20.0</v>
      </c>
      <c r="E43" s="164" t="s">
        <v>263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264</v>
      </c>
      <c r="C44" s="153" t="b">
        <v>0</v>
      </c>
      <c r="D44" s="156">
        <v>20.0</v>
      </c>
      <c r="E44" s="155" t="s">
        <v>265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266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267</v>
      </c>
      <c r="C47" s="153" t="b">
        <v>0</v>
      </c>
      <c r="D47" s="156">
        <v>20.0</v>
      </c>
      <c r="E47" s="155" t="s">
        <v>268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269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270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271</v>
      </c>
      <c r="C51" s="153" t="b">
        <v>0</v>
      </c>
      <c r="D51" s="156">
        <v>20.0</v>
      </c>
      <c r="E51" s="155" t="s">
        <v>272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273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274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275</v>
      </c>
      <c r="C55" s="153" t="b">
        <v>0</v>
      </c>
      <c r="D55" s="156">
        <v>20.0</v>
      </c>
      <c r="E55" s="155" t="s">
        <v>276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277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78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278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279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280</v>
      </c>
      <c r="C62" s="153" t="b">
        <v>0</v>
      </c>
      <c r="D62" s="156">
        <v>30.0</v>
      </c>
      <c r="E62" s="155" t="s">
        <v>281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282</v>
      </c>
      <c r="C63" s="153" t="b">
        <v>0</v>
      </c>
      <c r="D63" s="156">
        <v>30.0</v>
      </c>
      <c r="E63" s="155" t="s">
        <v>283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284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285</v>
      </c>
      <c r="C66" s="153" t="b">
        <v>0</v>
      </c>
      <c r="D66" s="156">
        <v>30.0</v>
      </c>
      <c r="E66" s="155" t="s">
        <v>286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287</v>
      </c>
      <c r="C67" s="153" t="b">
        <v>0</v>
      </c>
      <c r="D67" s="156">
        <v>30.0</v>
      </c>
      <c r="E67" s="155" t="s">
        <v>288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289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290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291</v>
      </c>
      <c r="C71" s="153" t="b">
        <v>0</v>
      </c>
      <c r="D71" s="156">
        <v>30.0</v>
      </c>
      <c r="E71" s="155" t="s">
        <v>292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293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294</v>
      </c>
      <c r="C74" s="153" t="b">
        <v>0</v>
      </c>
      <c r="D74" s="156">
        <v>30.0</v>
      </c>
      <c r="E74" s="164" t="s">
        <v>295</v>
      </c>
      <c r="F74" s="147"/>
      <c r="G74" s="147"/>
      <c r="H74" s="147"/>
      <c r="I74" s="155" t="s">
        <v>296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297</v>
      </c>
      <c r="C75" s="153" t="b">
        <v>0</v>
      </c>
      <c r="D75" s="156">
        <v>30.0</v>
      </c>
      <c r="E75" s="155" t="s">
        <v>298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299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300</v>
      </c>
      <c r="C78" s="153" t="b">
        <v>0</v>
      </c>
      <c r="D78" s="156">
        <v>30.0</v>
      </c>
      <c r="E78" s="155" t="s">
        <v>301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302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303</v>
      </c>
      <c r="B81" s="169" t="s">
        <v>304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305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306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307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308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309</v>
      </c>
      <c r="C87" s="173"/>
      <c r="D87" s="174" t="s">
        <v>310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311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312</v>
      </c>
      <c r="B3" s="180" t="s">
        <v>313</v>
      </c>
      <c r="C3" s="180" t="s">
        <v>314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315</v>
      </c>
      <c r="B4" s="181" t="s">
        <v>316</v>
      </c>
      <c r="C4" s="181" t="s">
        <v>317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318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319</v>
      </c>
      <c r="B6" s="181" t="s">
        <v>320</v>
      </c>
      <c r="C6" s="181" t="s">
        <v>317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321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322</v>
      </c>
      <c r="B8" s="183" t="s">
        <v>323</v>
      </c>
      <c r="C8" s="183" t="s">
        <v>317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324</v>
      </c>
      <c r="B9" s="185"/>
      <c r="C9" s="184" t="s">
        <v>317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325</v>
      </c>
    </row>
    <row r="3">
      <c r="B3" s="187" t="s">
        <v>326</v>
      </c>
      <c r="C3" s="187" t="s">
        <v>327</v>
      </c>
      <c r="D3" s="188" t="s">
        <v>328</v>
      </c>
      <c r="E3" s="188" t="s">
        <v>329</v>
      </c>
    </row>
    <row r="4">
      <c r="B4" s="189">
        <v>1.0</v>
      </c>
      <c r="C4" s="190" t="s">
        <v>330</v>
      </c>
      <c r="D4" s="191" t="s">
        <v>331</v>
      </c>
      <c r="E4" s="192" t="s">
        <v>332</v>
      </c>
    </row>
    <row r="5">
      <c r="B5" s="193"/>
      <c r="C5" s="193"/>
      <c r="D5" s="191" t="s">
        <v>333</v>
      </c>
      <c r="E5" s="191" t="s">
        <v>334</v>
      </c>
    </row>
    <row r="6">
      <c r="B6" s="193"/>
      <c r="C6" s="193"/>
      <c r="D6" s="191" t="s">
        <v>335</v>
      </c>
      <c r="E6" s="191" t="s">
        <v>336</v>
      </c>
    </row>
    <row r="7">
      <c r="B7" s="193"/>
      <c r="C7" s="193"/>
      <c r="D7" s="191" t="s">
        <v>337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216</v>
      </c>
      <c r="D13" s="191" t="s">
        <v>338</v>
      </c>
      <c r="E13" s="191" t="s">
        <v>339</v>
      </c>
    </row>
    <row r="14">
      <c r="B14" s="193"/>
      <c r="C14" s="193"/>
      <c r="D14" s="191" t="s">
        <v>340</v>
      </c>
      <c r="E14" s="191" t="s">
        <v>341</v>
      </c>
    </row>
    <row r="15">
      <c r="B15" s="193"/>
      <c r="C15" s="193"/>
      <c r="D15" s="191" t="s">
        <v>342</v>
      </c>
      <c r="E15" s="191" t="s">
        <v>343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217</v>
      </c>
      <c r="D22" s="191" t="s">
        <v>344</v>
      </c>
      <c r="E22" s="191" t="s">
        <v>345</v>
      </c>
      <c r="H22" s="196"/>
    </row>
    <row r="23" ht="15.75" customHeight="1">
      <c r="B23" s="193"/>
      <c r="C23" s="193"/>
      <c r="D23" s="191" t="s">
        <v>346</v>
      </c>
      <c r="E23" s="191" t="s">
        <v>347</v>
      </c>
      <c r="H23" s="196"/>
    </row>
    <row r="24" ht="15.75" customHeight="1">
      <c r="B24" s="193"/>
      <c r="C24" s="193"/>
      <c r="D24" s="191" t="s">
        <v>348</v>
      </c>
      <c r="E24" s="191" t="s">
        <v>349</v>
      </c>
      <c r="H24" s="196"/>
    </row>
    <row r="25" ht="15.75" customHeight="1">
      <c r="B25" s="193"/>
      <c r="C25" s="193"/>
      <c r="D25" s="191"/>
      <c r="E25" s="191" t="s">
        <v>350</v>
      </c>
      <c r="H25" s="196"/>
    </row>
    <row r="26" ht="15.75" customHeight="1">
      <c r="B26" s="193"/>
      <c r="C26" s="193"/>
      <c r="D26" s="191"/>
      <c r="E26" s="191" t="s">
        <v>351</v>
      </c>
      <c r="H26" s="196"/>
    </row>
    <row r="27" ht="15.75" customHeight="1">
      <c r="B27" s="193"/>
      <c r="C27" s="193"/>
      <c r="D27" s="191"/>
      <c r="E27" s="191" t="s">
        <v>352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218</v>
      </c>
      <c r="D36" s="191" t="s">
        <v>353</v>
      </c>
      <c r="E36" s="191" t="s">
        <v>354</v>
      </c>
    </row>
    <row r="37" ht="15.75" customHeight="1">
      <c r="B37" s="193"/>
      <c r="C37" s="193"/>
      <c r="D37" s="191" t="s">
        <v>355</v>
      </c>
      <c r="E37" s="191" t="s">
        <v>356</v>
      </c>
    </row>
    <row r="38" ht="15.75" customHeight="1">
      <c r="B38" s="193"/>
      <c r="C38" s="193"/>
      <c r="D38" s="191" t="s">
        <v>357</v>
      </c>
      <c r="E38" s="191" t="s">
        <v>358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193</v>
      </c>
      <c r="D45" s="191" t="s">
        <v>359</v>
      </c>
      <c r="E45" s="191" t="s">
        <v>360</v>
      </c>
    </row>
    <row r="46" ht="15.75" customHeight="1">
      <c r="B46" s="193"/>
      <c r="C46" s="193"/>
      <c r="D46" s="191" t="s">
        <v>361</v>
      </c>
      <c r="E46" s="191" t="s">
        <v>362</v>
      </c>
    </row>
    <row r="47" ht="15.75" customHeight="1">
      <c r="B47" s="193"/>
      <c r="C47" s="193"/>
      <c r="D47" s="191"/>
      <c r="E47" s="191" t="s">
        <v>358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