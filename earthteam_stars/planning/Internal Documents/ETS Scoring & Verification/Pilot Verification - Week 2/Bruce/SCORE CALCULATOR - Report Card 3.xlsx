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<sst xmlns="http://schemas.openxmlformats.org/spreadsheetml/2006/main" count="599" uniqueCount="363">
  <si>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</si>
  <si>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</si>
  <si>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</si>
  <si>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</si>
  <si>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</si>
  <si>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</si>
  <si>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</si>
  <si>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</si>
  <si>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</si>
  <si>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</si>
  <si>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</si>
  <si>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</si>
  <si>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</si>
  <si>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</si>
  <si>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</si>
  <si>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</si>
  <si>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</si>
  <si>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</si>
  <si>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</si>
  <si>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</si>
  <si>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</si>
  <si>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</si>
  <si>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</si>
  <si>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</si>
  <si>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</si>
  <si>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</si>
  <si>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</si>
  <si>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</si>
  <si>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</si>
  <si>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</si>
  <si>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</si>
  <si>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</si>
  <si>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</si>
  <si>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</si>
  <si>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</si>
  <si>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</si>
  <si>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</si>
  <si>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</si>
  <si>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</si>
  <si>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</si>
  <si>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</si>
  <si>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</si>
  <si>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</si>
  <si>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</si>
  <si>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</si>
  <si>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</si>
  <si>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</si>
  <si>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</si>
  <si>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</si>
  <si>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</si>
  <si>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</si>
  <si>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</si>
  <si>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NA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</si>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</sst>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330.18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54" t="s">
        <v>52</v>
      </c>
      <c r="E21" s="34">
        <f t="shared" si="1"/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53" t="s">
        <v>54</v>
      </c>
      <c r="C22" s="53" t="s">
        <v>55</v>
      </c>
      <c r="D22" s="33" t="s">
        <v>24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54" t="s">
        <v>52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340.18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54" t="s">
        <v>52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54" t="s">
        <v>52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54" t="s">
        <v>52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54" t="s">
        <v>52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54" t="s">
        <v>52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5" t="s">
        <v>85</v>
      </c>
      <c r="D36" s="54" t="s">
        <v>52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54" t="s">
        <v>52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33" t="s">
        <v>24</v>
      </c>
      <c r="E38" s="34">
        <f t="shared" si="3"/>
        <v>5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5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54" t="s">
        <v>52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54" t="s">
        <v>52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5" t="s">
        <v>102</v>
      </c>
      <c r="D44" s="54" t="s">
        <v>52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103</v>
      </c>
      <c r="B46" s="72"/>
      <c r="C46" s="72"/>
      <c r="D46" s="73"/>
      <c r="E46" s="74">
        <f>SUM(E16+E24+E32+E39+E45)</f>
        <v>366.18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53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0.18</v>
      </c>
      <c r="E72" s="130" t="s">
        <v>116</v>
      </c>
      <c r="F72" s="131">
        <v>1.0</v>
      </c>
      <c r="G72" s="132">
        <f t="shared" ref="G72:G76" si="10">D72*F72</f>
        <v>0.18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29">
        <v>32.0</v>
      </c>
      <c r="E73" s="130" t="s">
        <v>116</v>
      </c>
      <c r="F73" s="131">
        <v>10.0</v>
      </c>
      <c r="G73" s="132">
        <f t="shared" si="10"/>
        <v>320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33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33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1.0</v>
      </c>
      <c r="E76" s="130" t="s">
        <v>129</v>
      </c>
      <c r="F76" s="131">
        <v>10.0</v>
      </c>
      <c r="G76" s="132">
        <f t="shared" si="10"/>
        <v>10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4"/>
      <c r="C77" s="135" t="s">
        <v>120</v>
      </c>
      <c r="G77" s="136">
        <f>SUM(G72:G76)</f>
        <v>330.18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7" t="s">
        <v>180</v>
      </c>
      <c r="D79" s="133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7" t="s">
        <v>181</v>
      </c>
      <c r="D80" s="133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7" t="s">
        <v>182</v>
      </c>
      <c r="D81" s="133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7" t="s">
        <v>183</v>
      </c>
      <c r="D82" s="133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7" t="s">
        <v>184</v>
      </c>
      <c r="D83" s="133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7" t="s">
        <v>185</v>
      </c>
      <c r="D84" s="133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7" t="s">
        <v>186</v>
      </c>
      <c r="D85" s="133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4"/>
      <c r="C86" s="135" t="s">
        <v>120</v>
      </c>
      <c r="G86" s="136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7" t="s">
        <v>188</v>
      </c>
      <c r="D88" s="133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7" t="s">
        <v>189</v>
      </c>
      <c r="D89" s="133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7" t="s">
        <v>190</v>
      </c>
      <c r="D90" s="133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7" t="s">
        <v>191</v>
      </c>
      <c r="D91" s="133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7" t="s">
        <v>192</v>
      </c>
      <c r="D92" s="133">
        <v>0.0</v>
      </c>
      <c r="E92" s="130" t="s">
        <v>124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8"/>
      <c r="C93" s="139" t="s">
        <v>120</v>
      </c>
      <c r="D93" s="104"/>
      <c r="E93" s="104"/>
      <c r="F93" s="104"/>
      <c r="G93" s="140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1"/>
      <c r="C94" s="141"/>
      <c r="D94" s="141"/>
      <c r="E94" s="141"/>
      <c r="F94" s="141"/>
      <c r="G94" s="141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2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33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33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33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33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4"/>
      <c r="C101" s="135" t="s">
        <v>120</v>
      </c>
      <c r="G101" s="136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7" t="s">
        <v>199</v>
      </c>
      <c r="D103" s="133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7" t="s">
        <v>200</v>
      </c>
      <c r="D104" s="133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7" t="s">
        <v>201</v>
      </c>
      <c r="D105" s="133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7" t="s">
        <v>202</v>
      </c>
      <c r="D106" s="133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7" t="s">
        <v>203</v>
      </c>
      <c r="D107" s="133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4"/>
      <c r="C108" s="135" t="s">
        <v>120</v>
      </c>
      <c r="G108" s="136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7" t="s">
        <v>205</v>
      </c>
      <c r="D110" s="133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7" t="s">
        <v>206</v>
      </c>
      <c r="D111" s="133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7" t="s">
        <v>207</v>
      </c>
      <c r="D112" s="133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7" t="s">
        <v>208</v>
      </c>
      <c r="D113" s="133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7" t="s">
        <v>209</v>
      </c>
      <c r="D114" s="133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8"/>
      <c r="C115" s="139" t="s">
        <v>120</v>
      </c>
      <c r="D115" s="104"/>
      <c r="E115" s="104"/>
      <c r="F115" s="104"/>
      <c r="G115" s="140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210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211</v>
      </c>
      <c r="B4" s="145" t="s">
        <v>212</v>
      </c>
      <c r="C4" s="146" t="s">
        <v>213</v>
      </c>
      <c r="D4" s="146" t="s">
        <v>214</v>
      </c>
      <c r="E4" s="147" t="s">
        <v>215</v>
      </c>
      <c r="F4" s="147" t="s">
        <v>216</v>
      </c>
      <c r="G4" s="147" t="s">
        <v>217</v>
      </c>
      <c r="H4" s="147" t="s">
        <v>218</v>
      </c>
      <c r="I4" s="147" t="s">
        <v>193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219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220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221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222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223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224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225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226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227</v>
      </c>
      <c r="C15" s="154" t="b">
        <v>0</v>
      </c>
      <c r="D15" s="157">
        <v>10.0</v>
      </c>
      <c r="E15" s="156" t="s">
        <v>228</v>
      </c>
      <c r="F15" s="156" t="s">
        <v>229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230</v>
      </c>
      <c r="C16" s="154" t="b">
        <v>0</v>
      </c>
      <c r="D16" s="157">
        <v>10.0</v>
      </c>
      <c r="E16" s="156" t="s">
        <v>231</v>
      </c>
      <c r="F16" s="156" t="s">
        <v>232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233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234</v>
      </c>
      <c r="C19" s="154" t="b">
        <v>0</v>
      </c>
      <c r="D19" s="157">
        <v>10.0</v>
      </c>
      <c r="E19" s="156" t="s">
        <v>235</v>
      </c>
      <c r="F19" s="156" t="s">
        <v>236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237</v>
      </c>
      <c r="C20" s="154" t="b">
        <v>0</v>
      </c>
      <c r="D20" s="157">
        <v>10.0</v>
      </c>
      <c r="E20" s="156" t="s">
        <v>238</v>
      </c>
      <c r="F20" s="156" t="s">
        <v>239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240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241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242</v>
      </c>
      <c r="C24" s="154" t="b">
        <v>0</v>
      </c>
      <c r="D24" s="157">
        <v>10.0</v>
      </c>
      <c r="E24" s="156" t="s">
        <v>243</v>
      </c>
      <c r="F24" s="156" t="s">
        <v>244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245</v>
      </c>
      <c r="C25" s="154" t="b">
        <v>0</v>
      </c>
      <c r="D25" s="157">
        <v>10.0</v>
      </c>
      <c r="E25" s="156" t="s">
        <v>246</v>
      </c>
      <c r="F25" s="156" t="s">
        <v>247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248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249</v>
      </c>
      <c r="C28" s="154" t="b">
        <v>0</v>
      </c>
      <c r="D28" s="157">
        <v>10.0</v>
      </c>
      <c r="E28" s="156" t="s">
        <v>250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251</v>
      </c>
      <c r="C29" s="154" t="b">
        <v>0</v>
      </c>
      <c r="D29" s="157">
        <v>10.0</v>
      </c>
      <c r="E29" s="156" t="s">
        <v>252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253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254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255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256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257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258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259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260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261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262</v>
      </c>
      <c r="C43" s="154" t="b">
        <v>0</v>
      </c>
      <c r="D43" s="157">
        <v>20.0</v>
      </c>
      <c r="E43" s="165" t="s">
        <v>263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264</v>
      </c>
      <c r="C44" s="154" t="b">
        <v>0</v>
      </c>
      <c r="D44" s="157">
        <v>20.0</v>
      </c>
      <c r="E44" s="156" t="s">
        <v>265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266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267</v>
      </c>
      <c r="C47" s="154" t="b">
        <v>0</v>
      </c>
      <c r="D47" s="157">
        <v>20.0</v>
      </c>
      <c r="E47" s="156" t="s">
        <v>268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269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270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271</v>
      </c>
      <c r="C51" s="154" t="b">
        <v>0</v>
      </c>
      <c r="D51" s="157">
        <v>20.0</v>
      </c>
      <c r="E51" s="156" t="s">
        <v>272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273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274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275</v>
      </c>
      <c r="C55" s="154" t="b">
        <v>0</v>
      </c>
      <c r="D55" s="157">
        <v>20.0</v>
      </c>
      <c r="E55" s="156" t="s">
        <v>276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277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78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278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279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280</v>
      </c>
      <c r="C62" s="154" t="b">
        <v>0</v>
      </c>
      <c r="D62" s="157">
        <v>30.0</v>
      </c>
      <c r="E62" s="156" t="s">
        <v>281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282</v>
      </c>
      <c r="C63" s="154" t="b">
        <v>0</v>
      </c>
      <c r="D63" s="157">
        <v>30.0</v>
      </c>
      <c r="E63" s="156" t="s">
        <v>283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284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285</v>
      </c>
      <c r="C66" s="154" t="b">
        <v>0</v>
      </c>
      <c r="D66" s="157">
        <v>30.0</v>
      </c>
      <c r="E66" s="156" t="s">
        <v>286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287</v>
      </c>
      <c r="C67" s="154" t="b">
        <v>0</v>
      </c>
      <c r="D67" s="157">
        <v>30.0</v>
      </c>
      <c r="E67" s="156" t="s">
        <v>288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289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290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291</v>
      </c>
      <c r="C71" s="154" t="b">
        <v>0</v>
      </c>
      <c r="D71" s="157">
        <v>30.0</v>
      </c>
      <c r="E71" s="156" t="s">
        <v>292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293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294</v>
      </c>
      <c r="C74" s="154" t="b">
        <v>0</v>
      </c>
      <c r="D74" s="157">
        <v>30.0</v>
      </c>
      <c r="E74" s="165" t="s">
        <v>295</v>
      </c>
      <c r="F74" s="148"/>
      <c r="G74" s="148"/>
      <c r="H74" s="148"/>
      <c r="I74" s="156" t="s">
        <v>296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297</v>
      </c>
      <c r="C75" s="154" t="b">
        <v>0</v>
      </c>
      <c r="D75" s="157">
        <v>30.0</v>
      </c>
      <c r="E75" s="156" t="s">
        <v>298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299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300</v>
      </c>
      <c r="C78" s="154" t="b">
        <v>0</v>
      </c>
      <c r="D78" s="157">
        <v>30.0</v>
      </c>
      <c r="E78" s="156" t="s">
        <v>301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302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303</v>
      </c>
      <c r="B81" s="170" t="s">
        <v>304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305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306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307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308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309</v>
      </c>
      <c r="C87" s="174"/>
      <c r="D87" s="175" t="s">
        <v>310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311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312</v>
      </c>
      <c r="B3" s="181" t="s">
        <v>313</v>
      </c>
      <c r="C3" s="181" t="s">
        <v>314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315</v>
      </c>
      <c r="B4" s="182" t="s">
        <v>316</v>
      </c>
      <c r="C4" s="182" t="s">
        <v>317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318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319</v>
      </c>
      <c r="B6" s="182" t="s">
        <v>320</v>
      </c>
      <c r="C6" s="182" t="s">
        <v>317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321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322</v>
      </c>
      <c r="B8" s="184" t="s">
        <v>323</v>
      </c>
      <c r="C8" s="184" t="s">
        <v>317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324</v>
      </c>
      <c r="B9" s="186"/>
      <c r="C9" s="185" t="s">
        <v>317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325</v>
      </c>
    </row>
    <row r="3">
      <c r="B3" s="188" t="s">
        <v>326</v>
      </c>
      <c r="C3" s="188" t="s">
        <v>327</v>
      </c>
      <c r="D3" s="189" t="s">
        <v>328</v>
      </c>
      <c r="E3" s="189" t="s">
        <v>329</v>
      </c>
    </row>
    <row r="4">
      <c r="B4" s="190">
        <v>1.0</v>
      </c>
      <c r="C4" s="191" t="s">
        <v>330</v>
      </c>
      <c r="D4" s="192" t="s">
        <v>331</v>
      </c>
      <c r="E4" s="193" t="s">
        <v>332</v>
      </c>
    </row>
    <row r="5">
      <c r="B5" s="194"/>
      <c r="C5" s="194"/>
      <c r="D5" s="192" t="s">
        <v>333</v>
      </c>
      <c r="E5" s="192" t="s">
        <v>334</v>
      </c>
    </row>
    <row r="6">
      <c r="B6" s="194"/>
      <c r="C6" s="194"/>
      <c r="D6" s="192" t="s">
        <v>335</v>
      </c>
      <c r="E6" s="192" t="s">
        <v>336</v>
      </c>
    </row>
    <row r="7">
      <c r="B7" s="194"/>
      <c r="C7" s="194"/>
      <c r="D7" s="192" t="s">
        <v>337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216</v>
      </c>
      <c r="D13" s="192" t="s">
        <v>338</v>
      </c>
      <c r="E13" s="192" t="s">
        <v>339</v>
      </c>
    </row>
    <row r="14">
      <c r="B14" s="194"/>
      <c r="C14" s="194"/>
      <c r="D14" s="192" t="s">
        <v>340</v>
      </c>
      <c r="E14" s="192" t="s">
        <v>341</v>
      </c>
    </row>
    <row r="15">
      <c r="B15" s="194"/>
      <c r="C15" s="194"/>
      <c r="D15" s="192" t="s">
        <v>342</v>
      </c>
      <c r="E15" s="192" t="s">
        <v>343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217</v>
      </c>
      <c r="D22" s="192" t="s">
        <v>344</v>
      </c>
      <c r="E22" s="192" t="s">
        <v>345</v>
      </c>
      <c r="H22" s="197"/>
    </row>
    <row r="23" ht="15.75" customHeight="1">
      <c r="B23" s="194"/>
      <c r="C23" s="194"/>
      <c r="D23" s="192" t="s">
        <v>346</v>
      </c>
      <c r="E23" s="192" t="s">
        <v>347</v>
      </c>
      <c r="H23" s="197"/>
    </row>
    <row r="24" ht="15.75" customHeight="1">
      <c r="B24" s="194"/>
      <c r="C24" s="194"/>
      <c r="D24" s="192" t="s">
        <v>348</v>
      </c>
      <c r="E24" s="192" t="s">
        <v>349</v>
      </c>
      <c r="H24" s="197"/>
    </row>
    <row r="25" ht="15.75" customHeight="1">
      <c r="B25" s="194"/>
      <c r="C25" s="194"/>
      <c r="D25" s="192"/>
      <c r="E25" s="192" t="s">
        <v>350</v>
      </c>
      <c r="H25" s="197"/>
    </row>
    <row r="26" ht="15.75" customHeight="1">
      <c r="B26" s="194"/>
      <c r="C26" s="194"/>
      <c r="D26" s="192"/>
      <c r="E26" s="192" t="s">
        <v>351</v>
      </c>
      <c r="H26" s="197"/>
    </row>
    <row r="27" ht="15.75" customHeight="1">
      <c r="B27" s="194"/>
      <c r="C27" s="194"/>
      <c r="D27" s="192"/>
      <c r="E27" s="192" t="s">
        <v>352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218</v>
      </c>
      <c r="D36" s="192" t="s">
        <v>353</v>
      </c>
      <c r="E36" s="192" t="s">
        <v>354</v>
      </c>
    </row>
    <row r="37" ht="15.75" customHeight="1">
      <c r="B37" s="194"/>
      <c r="C37" s="194"/>
      <c r="D37" s="192" t="s">
        <v>355</v>
      </c>
      <c r="E37" s="192" t="s">
        <v>356</v>
      </c>
    </row>
    <row r="38" ht="15.75" customHeight="1">
      <c r="B38" s="194"/>
      <c r="C38" s="194"/>
      <c r="D38" s="192" t="s">
        <v>357</v>
      </c>
      <c r="E38" s="192" t="s">
        <v>358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193</v>
      </c>
      <c r="D45" s="192" t="s">
        <v>359</v>
      </c>
      <c r="E45" s="192" t="s">
        <v>360</v>
      </c>
    </row>
    <row r="46" ht="15.75" customHeight="1">
      <c r="B46" s="194"/>
      <c r="C46" s="194"/>
      <c r="D46" s="192" t="s">
        <v>361</v>
      </c>
      <c r="E46" s="192" t="s">
        <v>362</v>
      </c>
    </row>
    <row r="47" ht="15.75" customHeight="1">
      <c r="B47" s="194"/>
      <c r="C47" s="194"/>
      <c r="D47" s="192"/>
      <c r="E47" s="192" t="s">
        <v>358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