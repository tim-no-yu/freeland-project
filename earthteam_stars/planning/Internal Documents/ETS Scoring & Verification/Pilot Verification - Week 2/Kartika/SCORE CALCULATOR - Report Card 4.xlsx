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<sst xmlns="http://schemas.openxmlformats.org/spreadsheetml/2006/main" count="599" uniqueCount="363">
  <si>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</si>
  <si>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4 -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</si>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</sst>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nA0k6ikeKTxYCLgSf0OXW-ESMT4dvBYhlAd-sR413A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6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11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51" t="s">
        <v>45</v>
      </c>
      <c r="E19" s="52">
        <f>SUM('DETAILED CALCULCATIONS'!G8+'DETAILED CALCULCATIONS'!G33+'DETAILED CALCULCATIONS'!G55+'DETAILED CALCULCATIONS'!G77+'DETAILED CALCULCATIONS'!G101)</f>
        <v>0</v>
      </c>
      <c r="F19" s="53" t="s">
        <v>46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47</v>
      </c>
      <c r="B20" s="54" t="s">
        <v>48</v>
      </c>
      <c r="C20" s="54" t="s">
        <v>49</v>
      </c>
      <c r="D20" s="33" t="s">
        <v>24</v>
      </c>
      <c r="E20" s="34">
        <f t="shared" ref="E20:E23" si="1">if(D20="YES",5,0)</f>
        <v>5</v>
      </c>
      <c r="F20" s="35" t="s">
        <v>29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4" t="s">
        <v>51</v>
      </c>
      <c r="C21" s="54" t="s">
        <v>52</v>
      </c>
      <c r="D21" s="33" t="s">
        <v>24</v>
      </c>
      <c r="E21" s="34">
        <f t="shared" si="1"/>
        <v>5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4" t="s">
        <v>54</v>
      </c>
      <c r="C22" s="54" t="s">
        <v>55</v>
      </c>
      <c r="D22" s="33" t="s">
        <v>24</v>
      </c>
      <c r="E22" s="34">
        <f t="shared" si="1"/>
        <v>5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4" t="s">
        <v>57</v>
      </c>
      <c r="C23" s="54" t="s">
        <v>58</v>
      </c>
      <c r="D23" s="36" t="s">
        <v>33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15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4" t="s">
        <v>61</v>
      </c>
      <c r="C26" s="54" t="s">
        <v>62</v>
      </c>
      <c r="D26" s="51" t="s">
        <v>45</v>
      </c>
      <c r="E26" s="52">
        <f>SUM('DETAILED CALCULCATIONS'!G15+'DETAILED CALCULCATIONS'!G39+'DETAILED CALCULCATIONS'!G63+'DETAILED CALCULCATIONS'!G86+'DETAILED CALCULCATIONS'!G108)</f>
        <v>0</v>
      </c>
      <c r="F26" s="53" t="s">
        <v>46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4" t="s">
        <v>64</v>
      </c>
      <c r="C27" s="54" t="s">
        <v>65</v>
      </c>
      <c r="D27" s="36" t="s">
        <v>33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4" t="s">
        <v>67</v>
      </c>
      <c r="C28" s="54" t="s">
        <v>68</v>
      </c>
      <c r="D28" s="36" t="s">
        <v>33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4" t="s">
        <v>70</v>
      </c>
      <c r="C29" s="54" t="s">
        <v>71</v>
      </c>
      <c r="D29" s="33" t="s">
        <v>24</v>
      </c>
      <c r="E29" s="34">
        <f t="shared" si="2"/>
        <v>5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4" t="s">
        <v>73</v>
      </c>
      <c r="C30" s="54" t="s">
        <v>74</v>
      </c>
      <c r="D30" s="36" t="s">
        <v>33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4" t="s">
        <v>76</v>
      </c>
      <c r="C31" s="54" t="s">
        <v>77</v>
      </c>
      <c r="D31" s="33" t="s">
        <v>24</v>
      </c>
      <c r="E31" s="34">
        <f t="shared" si="2"/>
        <v>5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10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4" t="s">
        <v>81</v>
      </c>
      <c r="C35" s="54" t="s">
        <v>82</v>
      </c>
      <c r="D35" s="51" t="s">
        <v>45</v>
      </c>
      <c r="E35" s="52">
        <f>SUM('DETAILED CALCULCATIONS'!G20+'DETAILED CALCULCATIONS'!G45+'DETAILED CALCULCATIONS'!G68+'DETAILED CALCULCATIONS'!G93+'DETAILED CALCULCATIONS'!G115)</f>
        <v>0</v>
      </c>
      <c r="F35" s="53" t="s">
        <v>46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4" t="s">
        <v>84</v>
      </c>
      <c r="C36" s="55" t="s">
        <v>85</v>
      </c>
      <c r="D36" s="36" t="s">
        <v>33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4" t="s">
        <v>87</v>
      </c>
      <c r="C37" s="54" t="s">
        <v>88</v>
      </c>
      <c r="D37" s="36" t="s">
        <v>33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4" t="s">
        <v>90</v>
      </c>
      <c r="C38" s="54" t="s">
        <v>91</v>
      </c>
      <c r="D38" s="33" t="s">
        <v>24</v>
      </c>
      <c r="E38" s="34">
        <f t="shared" si="3"/>
        <v>5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5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4" t="s">
        <v>95</v>
      </c>
      <c r="C42" s="54" t="s">
        <v>96</v>
      </c>
      <c r="D42" s="36" t="s">
        <v>33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4" t="s">
        <v>98</v>
      </c>
      <c r="C43" s="54" t="s">
        <v>99</v>
      </c>
      <c r="D43" s="36" t="s">
        <v>33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4" t="s">
        <v>101</v>
      </c>
      <c r="C44" s="55" t="s">
        <v>102</v>
      </c>
      <c r="D44" s="36" t="s">
        <v>33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41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4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120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121</v>
      </c>
      <c r="C9" s="88" t="s">
        <v>109</v>
      </c>
      <c r="D9" s="89" t="s">
        <v>110</v>
      </c>
      <c r="E9" s="89" t="s">
        <v>111</v>
      </c>
      <c r="F9" s="89" t="s">
        <v>112</v>
      </c>
      <c r="G9" s="90" t="s">
        <v>113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122</v>
      </c>
      <c r="C10" s="101" t="s">
        <v>123</v>
      </c>
      <c r="D10" s="93">
        <v>0.0</v>
      </c>
      <c r="E10" s="94" t="s">
        <v>124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125</v>
      </c>
      <c r="D11" s="93">
        <v>0.0</v>
      </c>
      <c r="E11" s="94" t="s">
        <v>124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124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124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129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120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130</v>
      </c>
      <c r="C16" s="88" t="s">
        <v>109</v>
      </c>
      <c r="D16" s="89" t="s">
        <v>110</v>
      </c>
      <c r="E16" s="89" t="s">
        <v>111</v>
      </c>
      <c r="F16" s="89" t="s">
        <v>112</v>
      </c>
      <c r="G16" s="90" t="s">
        <v>113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131</v>
      </c>
      <c r="C17" s="101" t="s">
        <v>132</v>
      </c>
      <c r="D17" s="93">
        <v>0.0</v>
      </c>
      <c r="E17" s="94" t="s">
        <v>124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133</v>
      </c>
      <c r="D18" s="93">
        <v>0.0</v>
      </c>
      <c r="E18" s="94" t="s">
        <v>124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134</v>
      </c>
      <c r="D19" s="93">
        <v>0.0</v>
      </c>
      <c r="E19" s="94" t="s">
        <v>129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120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108</v>
      </c>
      <c r="C24" s="88" t="s">
        <v>109</v>
      </c>
      <c r="D24" s="89" t="s">
        <v>110</v>
      </c>
      <c r="E24" s="89" t="s">
        <v>111</v>
      </c>
      <c r="F24" s="89" t="s">
        <v>112</v>
      </c>
      <c r="G24" s="90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135</v>
      </c>
      <c r="C25" s="92" t="s">
        <v>136</v>
      </c>
      <c r="D25" s="93">
        <v>0.0</v>
      </c>
      <c r="E25" s="94" t="s">
        <v>116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137</v>
      </c>
      <c r="D26" s="93">
        <v>0.0</v>
      </c>
      <c r="E26" s="94" t="s">
        <v>116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120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121</v>
      </c>
      <c r="C34" s="88" t="s">
        <v>109</v>
      </c>
      <c r="D34" s="89" t="s">
        <v>110</v>
      </c>
      <c r="E34" s="89" t="s">
        <v>111</v>
      </c>
      <c r="F34" s="89" t="s">
        <v>112</v>
      </c>
      <c r="G34" s="90" t="s">
        <v>113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144</v>
      </c>
      <c r="C35" s="101" t="s">
        <v>145</v>
      </c>
      <c r="D35" s="93">
        <v>0.0</v>
      </c>
      <c r="E35" s="94" t="s">
        <v>124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146</v>
      </c>
      <c r="D36" s="93">
        <v>0.0</v>
      </c>
      <c r="E36" s="94" t="s">
        <v>124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124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129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120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130</v>
      </c>
      <c r="C40" s="88" t="s">
        <v>109</v>
      </c>
      <c r="D40" s="89" t="s">
        <v>110</v>
      </c>
      <c r="E40" s="89" t="s">
        <v>111</v>
      </c>
      <c r="F40" s="89" t="s">
        <v>112</v>
      </c>
      <c r="G40" s="90" t="s">
        <v>113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149</v>
      </c>
      <c r="C41" s="101" t="s">
        <v>150</v>
      </c>
      <c r="D41" s="93">
        <v>0.0</v>
      </c>
      <c r="E41" s="94" t="s">
        <v>124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151</v>
      </c>
      <c r="D42" s="93">
        <v>0.0</v>
      </c>
      <c r="E42" s="94" t="s">
        <v>124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124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124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120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108</v>
      </c>
      <c r="C48" s="88" t="s">
        <v>109</v>
      </c>
      <c r="D48" s="89" t="s">
        <v>110</v>
      </c>
      <c r="E48" s="89" t="s">
        <v>111</v>
      </c>
      <c r="F48" s="89" t="s">
        <v>112</v>
      </c>
      <c r="G48" s="90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154</v>
      </c>
      <c r="C49" s="92" t="s">
        <v>155</v>
      </c>
      <c r="D49" s="93">
        <v>0.0</v>
      </c>
      <c r="E49" s="94" t="s">
        <v>116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156</v>
      </c>
      <c r="D50" s="93">
        <v>0.0</v>
      </c>
      <c r="E50" s="94" t="s">
        <v>116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157</v>
      </c>
      <c r="D51" s="93">
        <v>0.0</v>
      </c>
      <c r="E51" s="94" t="s">
        <v>116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158</v>
      </c>
      <c r="D52" s="93">
        <v>0.0</v>
      </c>
      <c r="E52" s="94" t="s">
        <v>116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160</v>
      </c>
      <c r="D54" s="93">
        <v>0.0</v>
      </c>
      <c r="E54" s="94" t="s">
        <v>116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120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121</v>
      </c>
      <c r="C56" s="88" t="s">
        <v>109</v>
      </c>
      <c r="D56" s="89" t="s">
        <v>110</v>
      </c>
      <c r="E56" s="89" t="s">
        <v>111</v>
      </c>
      <c r="F56" s="89" t="s">
        <v>112</v>
      </c>
      <c r="G56" s="90" t="s">
        <v>113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161</v>
      </c>
      <c r="C57" s="101" t="s">
        <v>162</v>
      </c>
      <c r="D57" s="93">
        <v>0.0</v>
      </c>
      <c r="E57" s="94" t="s">
        <v>124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163</v>
      </c>
      <c r="D58" s="93">
        <v>0.0</v>
      </c>
      <c r="E58" s="94" t="s">
        <v>124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129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124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129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116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120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130</v>
      </c>
      <c r="C64" s="88" t="s">
        <v>109</v>
      </c>
      <c r="D64" s="89" t="s">
        <v>110</v>
      </c>
      <c r="E64" s="89" t="s">
        <v>111</v>
      </c>
      <c r="F64" s="89" t="s">
        <v>112</v>
      </c>
      <c r="G64" s="90" t="s">
        <v>113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168</v>
      </c>
      <c r="C65" s="101" t="s">
        <v>169</v>
      </c>
      <c r="D65" s="93">
        <v>0.0</v>
      </c>
      <c r="E65" s="94" t="s">
        <v>129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170</v>
      </c>
      <c r="D66" s="93">
        <v>0.0</v>
      </c>
      <c r="E66" s="94" t="s">
        <v>129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124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120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172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108</v>
      </c>
      <c r="C71" s="124" t="s">
        <v>109</v>
      </c>
      <c r="D71" s="125" t="s">
        <v>110</v>
      </c>
      <c r="E71" s="125" t="s">
        <v>111</v>
      </c>
      <c r="F71" s="125" t="s">
        <v>112</v>
      </c>
      <c r="G71" s="126" t="s">
        <v>113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173</v>
      </c>
      <c r="C72" s="128" t="s">
        <v>174</v>
      </c>
      <c r="D72" s="129">
        <v>0.0</v>
      </c>
      <c r="E72" s="130" t="s">
        <v>116</v>
      </c>
      <c r="F72" s="131">
        <v>1.0</v>
      </c>
      <c r="G72" s="132">
        <f t="shared" ref="G72:G76" si="10">D72*F72</f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175</v>
      </c>
      <c r="D73" s="129">
        <v>0.0</v>
      </c>
      <c r="E73" s="130" t="s">
        <v>116</v>
      </c>
      <c r="F73" s="131">
        <v>10.0</v>
      </c>
      <c r="G73" s="132">
        <f t="shared" si="10"/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124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116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129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3"/>
      <c r="C77" s="134" t="s">
        <v>120</v>
      </c>
      <c r="G77" s="135">
        <f>SUM(G72:G76)</f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121</v>
      </c>
      <c r="C78" s="124" t="s">
        <v>109</v>
      </c>
      <c r="D78" s="125" t="s">
        <v>110</v>
      </c>
      <c r="E78" s="125" t="s">
        <v>111</v>
      </c>
      <c r="F78" s="125" t="s">
        <v>112</v>
      </c>
      <c r="G78" s="126" t="s">
        <v>113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179</v>
      </c>
      <c r="C79" s="136" t="s">
        <v>180</v>
      </c>
      <c r="D79" s="129">
        <v>0.0</v>
      </c>
      <c r="E79" s="130" t="s">
        <v>124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6" t="s">
        <v>181</v>
      </c>
      <c r="D80" s="129">
        <v>0.0</v>
      </c>
      <c r="E80" s="130" t="s">
        <v>124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6" t="s">
        <v>182</v>
      </c>
      <c r="D81" s="129">
        <v>0.0</v>
      </c>
      <c r="E81" s="130" t="s">
        <v>124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6" t="s">
        <v>183</v>
      </c>
      <c r="D82" s="129">
        <v>0.0</v>
      </c>
      <c r="E82" s="130" t="s">
        <v>124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6" t="s">
        <v>184</v>
      </c>
      <c r="D83" s="129">
        <v>0.0</v>
      </c>
      <c r="E83" s="130" t="s">
        <v>129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6" t="s">
        <v>185</v>
      </c>
      <c r="D84" s="129">
        <v>0.0</v>
      </c>
      <c r="E84" s="130" t="s">
        <v>116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6" t="s">
        <v>186</v>
      </c>
      <c r="D85" s="129">
        <v>0.0</v>
      </c>
      <c r="E85" s="130" t="s">
        <v>124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3"/>
      <c r="C86" s="134" t="s">
        <v>120</v>
      </c>
      <c r="G86" s="135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130</v>
      </c>
      <c r="C87" s="124" t="s">
        <v>109</v>
      </c>
      <c r="D87" s="125" t="s">
        <v>110</v>
      </c>
      <c r="E87" s="125" t="s">
        <v>111</v>
      </c>
      <c r="F87" s="125" t="s">
        <v>112</v>
      </c>
      <c r="G87" s="126" t="s">
        <v>113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187</v>
      </c>
      <c r="C88" s="136" t="s">
        <v>188</v>
      </c>
      <c r="D88" s="129">
        <v>0.0</v>
      </c>
      <c r="E88" s="130" t="s">
        <v>124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6" t="s">
        <v>189</v>
      </c>
      <c r="D89" s="129">
        <v>0.0</v>
      </c>
      <c r="E89" s="130" t="s">
        <v>124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6" t="s">
        <v>190</v>
      </c>
      <c r="D90" s="129">
        <v>0.0</v>
      </c>
      <c r="E90" s="130" t="s">
        <v>129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6" t="s">
        <v>191</v>
      </c>
      <c r="D91" s="129">
        <v>0.0</v>
      </c>
      <c r="E91" s="130" t="s">
        <v>124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6" t="s">
        <v>192</v>
      </c>
      <c r="D92" s="129">
        <v>0.0</v>
      </c>
      <c r="E92" s="130" t="s">
        <v>124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7"/>
      <c r="C93" s="138" t="s">
        <v>120</v>
      </c>
      <c r="D93" s="104"/>
      <c r="E93" s="104"/>
      <c r="F93" s="104"/>
      <c r="G93" s="139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0"/>
      <c r="C94" s="140"/>
      <c r="D94" s="140"/>
      <c r="E94" s="140"/>
      <c r="F94" s="140"/>
      <c r="G94" s="140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1" t="s">
        <v>193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108</v>
      </c>
      <c r="C96" s="124" t="s">
        <v>109</v>
      </c>
      <c r="D96" s="125" t="s">
        <v>110</v>
      </c>
      <c r="E96" s="125" t="s">
        <v>111</v>
      </c>
      <c r="F96" s="125" t="s">
        <v>112</v>
      </c>
      <c r="G96" s="126" t="s">
        <v>113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135</v>
      </c>
      <c r="C97" s="128" t="s">
        <v>194</v>
      </c>
      <c r="D97" s="129">
        <v>0.0</v>
      </c>
      <c r="E97" s="130" t="s">
        <v>116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195</v>
      </c>
      <c r="D98" s="129">
        <v>0.0</v>
      </c>
      <c r="E98" s="130" t="s">
        <v>129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196</v>
      </c>
      <c r="D99" s="129">
        <v>0.0</v>
      </c>
      <c r="E99" s="130" t="s">
        <v>116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197</v>
      </c>
      <c r="D100" s="129">
        <v>0.0</v>
      </c>
      <c r="E100" s="130" t="s">
        <v>129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3"/>
      <c r="C101" s="134" t="s">
        <v>120</v>
      </c>
      <c r="G101" s="135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121</v>
      </c>
      <c r="C102" s="124" t="s">
        <v>109</v>
      </c>
      <c r="D102" s="125" t="s">
        <v>110</v>
      </c>
      <c r="E102" s="125" t="s">
        <v>111</v>
      </c>
      <c r="F102" s="125" t="s">
        <v>112</v>
      </c>
      <c r="G102" s="126" t="s">
        <v>113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198</v>
      </c>
      <c r="C103" s="136" t="s">
        <v>199</v>
      </c>
      <c r="D103" s="129">
        <v>0.0</v>
      </c>
      <c r="E103" s="130" t="s">
        <v>124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6" t="s">
        <v>200</v>
      </c>
      <c r="D104" s="129">
        <v>0.0</v>
      </c>
      <c r="E104" s="130" t="s">
        <v>124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6" t="s">
        <v>201</v>
      </c>
      <c r="D105" s="129">
        <v>0.0</v>
      </c>
      <c r="E105" s="130" t="s">
        <v>124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6" t="s">
        <v>202</v>
      </c>
      <c r="D106" s="129">
        <v>0.0</v>
      </c>
      <c r="E106" s="130" t="s">
        <v>116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6" t="s">
        <v>203</v>
      </c>
      <c r="D107" s="129">
        <v>0.0</v>
      </c>
      <c r="E107" s="130" t="s">
        <v>129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3"/>
      <c r="C108" s="134" t="s">
        <v>120</v>
      </c>
      <c r="G108" s="135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130</v>
      </c>
      <c r="C109" s="124" t="s">
        <v>109</v>
      </c>
      <c r="D109" s="125" t="s">
        <v>110</v>
      </c>
      <c r="E109" s="125" t="s">
        <v>111</v>
      </c>
      <c r="F109" s="125" t="s">
        <v>112</v>
      </c>
      <c r="G109" s="126" t="s">
        <v>113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204</v>
      </c>
      <c r="C110" s="136" t="s">
        <v>205</v>
      </c>
      <c r="D110" s="129">
        <v>0.0</v>
      </c>
      <c r="E110" s="130" t="s">
        <v>124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6" t="s">
        <v>206</v>
      </c>
      <c r="D111" s="129">
        <v>0.0</v>
      </c>
      <c r="E111" s="130" t="s">
        <v>124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6" t="s">
        <v>207</v>
      </c>
      <c r="D112" s="129">
        <v>0.0</v>
      </c>
      <c r="E112" s="130" t="s">
        <v>124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6" t="s">
        <v>208</v>
      </c>
      <c r="D113" s="129">
        <v>0.0</v>
      </c>
      <c r="E113" s="130" t="s">
        <v>124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6" t="s">
        <v>209</v>
      </c>
      <c r="D114" s="129">
        <v>0.0</v>
      </c>
      <c r="E114" s="130" t="s">
        <v>129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7"/>
      <c r="C115" s="138" t="s">
        <v>120</v>
      </c>
      <c r="D115" s="104"/>
      <c r="E115" s="104"/>
      <c r="F115" s="104"/>
      <c r="G115" s="139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210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211</v>
      </c>
      <c r="B4" s="144" t="s">
        <v>212</v>
      </c>
      <c r="C4" s="145" t="s">
        <v>213</v>
      </c>
      <c r="D4" s="145" t="s">
        <v>214</v>
      </c>
      <c r="E4" s="146" t="s">
        <v>215</v>
      </c>
      <c r="F4" s="146" t="s">
        <v>216</v>
      </c>
      <c r="G4" s="146" t="s">
        <v>217</v>
      </c>
      <c r="H4" s="146" t="s">
        <v>218</v>
      </c>
      <c r="I4" s="146" t="s">
        <v>193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39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219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220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221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222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223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224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225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226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227</v>
      </c>
      <c r="C15" s="153" t="b">
        <v>0</v>
      </c>
      <c r="D15" s="156">
        <v>10.0</v>
      </c>
      <c r="E15" s="155" t="s">
        <v>228</v>
      </c>
      <c r="F15" s="155" t="s">
        <v>229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230</v>
      </c>
      <c r="C16" s="153" t="b">
        <v>0</v>
      </c>
      <c r="D16" s="156">
        <v>10.0</v>
      </c>
      <c r="E16" s="155" t="s">
        <v>231</v>
      </c>
      <c r="F16" s="155" t="s">
        <v>232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233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234</v>
      </c>
      <c r="C19" s="153" t="b">
        <v>0</v>
      </c>
      <c r="D19" s="156">
        <v>10.0</v>
      </c>
      <c r="E19" s="155" t="s">
        <v>235</v>
      </c>
      <c r="F19" s="155" t="s">
        <v>236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237</v>
      </c>
      <c r="C20" s="153" t="b">
        <v>0</v>
      </c>
      <c r="D20" s="156">
        <v>10.0</v>
      </c>
      <c r="E20" s="155" t="s">
        <v>238</v>
      </c>
      <c r="F20" s="155" t="s">
        <v>239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240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241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242</v>
      </c>
      <c r="C24" s="153" t="b">
        <v>0</v>
      </c>
      <c r="D24" s="156">
        <v>10.0</v>
      </c>
      <c r="E24" s="155" t="s">
        <v>243</v>
      </c>
      <c r="F24" s="155" t="s">
        <v>244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245</v>
      </c>
      <c r="C25" s="153" t="b">
        <v>0</v>
      </c>
      <c r="D25" s="156">
        <v>10.0</v>
      </c>
      <c r="E25" s="155" t="s">
        <v>246</v>
      </c>
      <c r="F25" s="155" t="s">
        <v>247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248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249</v>
      </c>
      <c r="C28" s="153" t="b">
        <v>0</v>
      </c>
      <c r="D28" s="156">
        <v>10.0</v>
      </c>
      <c r="E28" s="155" t="s">
        <v>250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251</v>
      </c>
      <c r="C29" s="153" t="b">
        <v>0</v>
      </c>
      <c r="D29" s="156">
        <v>10.0</v>
      </c>
      <c r="E29" s="155" t="s">
        <v>252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253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254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255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256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257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258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259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260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261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262</v>
      </c>
      <c r="C43" s="153" t="b">
        <v>0</v>
      </c>
      <c r="D43" s="156">
        <v>20.0</v>
      </c>
      <c r="E43" s="164" t="s">
        <v>263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264</v>
      </c>
      <c r="C44" s="153" t="b">
        <v>0</v>
      </c>
      <c r="D44" s="156">
        <v>20.0</v>
      </c>
      <c r="E44" s="155" t="s">
        <v>265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266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267</v>
      </c>
      <c r="C47" s="153" t="b">
        <v>0</v>
      </c>
      <c r="D47" s="156">
        <v>20.0</v>
      </c>
      <c r="E47" s="155" t="s">
        <v>268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269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270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271</v>
      </c>
      <c r="C51" s="153" t="b">
        <v>0</v>
      </c>
      <c r="D51" s="156">
        <v>20.0</v>
      </c>
      <c r="E51" s="155" t="s">
        <v>272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273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274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275</v>
      </c>
      <c r="C55" s="153" t="b">
        <v>0</v>
      </c>
      <c r="D55" s="156">
        <v>20.0</v>
      </c>
      <c r="E55" s="155" t="s">
        <v>276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277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78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278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279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280</v>
      </c>
      <c r="C62" s="153" t="b">
        <v>0</v>
      </c>
      <c r="D62" s="156">
        <v>30.0</v>
      </c>
      <c r="E62" s="155" t="s">
        <v>281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282</v>
      </c>
      <c r="C63" s="153" t="b">
        <v>0</v>
      </c>
      <c r="D63" s="156">
        <v>30.0</v>
      </c>
      <c r="E63" s="155" t="s">
        <v>283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284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285</v>
      </c>
      <c r="C66" s="153" t="b">
        <v>0</v>
      </c>
      <c r="D66" s="156">
        <v>30.0</v>
      </c>
      <c r="E66" s="155" t="s">
        <v>286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287</v>
      </c>
      <c r="C67" s="153" t="b">
        <v>0</v>
      </c>
      <c r="D67" s="156">
        <v>30.0</v>
      </c>
      <c r="E67" s="155" t="s">
        <v>288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289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290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291</v>
      </c>
      <c r="C71" s="153" t="b">
        <v>0</v>
      </c>
      <c r="D71" s="156">
        <v>30.0</v>
      </c>
      <c r="E71" s="155" t="s">
        <v>292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293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294</v>
      </c>
      <c r="C74" s="153" t="b">
        <v>0</v>
      </c>
      <c r="D74" s="156">
        <v>30.0</v>
      </c>
      <c r="E74" s="164" t="s">
        <v>295</v>
      </c>
      <c r="F74" s="147"/>
      <c r="G74" s="147"/>
      <c r="H74" s="147"/>
      <c r="I74" s="155" t="s">
        <v>296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297</v>
      </c>
      <c r="C75" s="153" t="b">
        <v>0</v>
      </c>
      <c r="D75" s="156">
        <v>30.0</v>
      </c>
      <c r="E75" s="155" t="s">
        <v>298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299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300</v>
      </c>
      <c r="C78" s="153" t="b">
        <v>0</v>
      </c>
      <c r="D78" s="156">
        <v>30.0</v>
      </c>
      <c r="E78" s="155" t="s">
        <v>301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302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303</v>
      </c>
      <c r="B81" s="169" t="s">
        <v>304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305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306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307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308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309</v>
      </c>
      <c r="C87" s="173"/>
      <c r="D87" s="174" t="s">
        <v>310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311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312</v>
      </c>
      <c r="B3" s="180" t="s">
        <v>313</v>
      </c>
      <c r="C3" s="180" t="s">
        <v>314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315</v>
      </c>
      <c r="B4" s="181" t="s">
        <v>316</v>
      </c>
      <c r="C4" s="181" t="s">
        <v>317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318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319</v>
      </c>
      <c r="B6" s="181" t="s">
        <v>320</v>
      </c>
      <c r="C6" s="181" t="s">
        <v>317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321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322</v>
      </c>
      <c r="B8" s="183" t="s">
        <v>323</v>
      </c>
      <c r="C8" s="183" t="s">
        <v>317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324</v>
      </c>
      <c r="B9" s="185"/>
      <c r="C9" s="184" t="s">
        <v>317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325</v>
      </c>
    </row>
    <row r="3">
      <c r="B3" s="187" t="s">
        <v>326</v>
      </c>
      <c r="C3" s="187" t="s">
        <v>327</v>
      </c>
      <c r="D3" s="188" t="s">
        <v>328</v>
      </c>
      <c r="E3" s="188" t="s">
        <v>329</v>
      </c>
    </row>
    <row r="4">
      <c r="B4" s="189">
        <v>1.0</v>
      </c>
      <c r="C4" s="190" t="s">
        <v>330</v>
      </c>
      <c r="D4" s="191" t="s">
        <v>331</v>
      </c>
      <c r="E4" s="192" t="s">
        <v>332</v>
      </c>
    </row>
    <row r="5">
      <c r="B5" s="193"/>
      <c r="C5" s="193"/>
      <c r="D5" s="191" t="s">
        <v>333</v>
      </c>
      <c r="E5" s="191" t="s">
        <v>334</v>
      </c>
    </row>
    <row r="6">
      <c r="B6" s="193"/>
      <c r="C6" s="193"/>
      <c r="D6" s="191" t="s">
        <v>335</v>
      </c>
      <c r="E6" s="191" t="s">
        <v>336</v>
      </c>
    </row>
    <row r="7">
      <c r="B7" s="193"/>
      <c r="C7" s="193"/>
      <c r="D7" s="191" t="s">
        <v>337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216</v>
      </c>
      <c r="D13" s="191" t="s">
        <v>338</v>
      </c>
      <c r="E13" s="191" t="s">
        <v>339</v>
      </c>
    </row>
    <row r="14">
      <c r="B14" s="193"/>
      <c r="C14" s="193"/>
      <c r="D14" s="191" t="s">
        <v>340</v>
      </c>
      <c r="E14" s="191" t="s">
        <v>341</v>
      </c>
    </row>
    <row r="15">
      <c r="B15" s="193"/>
      <c r="C15" s="193"/>
      <c r="D15" s="191" t="s">
        <v>342</v>
      </c>
      <c r="E15" s="191" t="s">
        <v>343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217</v>
      </c>
      <c r="D22" s="191" t="s">
        <v>344</v>
      </c>
      <c r="E22" s="191" t="s">
        <v>345</v>
      </c>
      <c r="H22" s="196"/>
    </row>
    <row r="23" ht="15.75" customHeight="1">
      <c r="B23" s="193"/>
      <c r="C23" s="193"/>
      <c r="D23" s="191" t="s">
        <v>346</v>
      </c>
      <c r="E23" s="191" t="s">
        <v>347</v>
      </c>
      <c r="H23" s="196"/>
    </row>
    <row r="24" ht="15.75" customHeight="1">
      <c r="B24" s="193"/>
      <c r="C24" s="193"/>
      <c r="D24" s="191" t="s">
        <v>348</v>
      </c>
      <c r="E24" s="191" t="s">
        <v>349</v>
      </c>
      <c r="H24" s="196"/>
    </row>
    <row r="25" ht="15.75" customHeight="1">
      <c r="B25" s="193"/>
      <c r="C25" s="193"/>
      <c r="D25" s="191"/>
      <c r="E25" s="191" t="s">
        <v>350</v>
      </c>
      <c r="H25" s="196"/>
    </row>
    <row r="26" ht="15.75" customHeight="1">
      <c r="B26" s="193"/>
      <c r="C26" s="193"/>
      <c r="D26" s="191"/>
      <c r="E26" s="191" t="s">
        <v>351</v>
      </c>
      <c r="H26" s="196"/>
    </row>
    <row r="27" ht="15.75" customHeight="1">
      <c r="B27" s="193"/>
      <c r="C27" s="193"/>
      <c r="D27" s="191"/>
      <c r="E27" s="191" t="s">
        <v>352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218</v>
      </c>
      <c r="D36" s="191" t="s">
        <v>353</v>
      </c>
      <c r="E36" s="191" t="s">
        <v>354</v>
      </c>
    </row>
    <row r="37" ht="15.75" customHeight="1">
      <c r="B37" s="193"/>
      <c r="C37" s="193"/>
      <c r="D37" s="191" t="s">
        <v>355</v>
      </c>
      <c r="E37" s="191" t="s">
        <v>356</v>
      </c>
    </row>
    <row r="38" ht="15.75" customHeight="1">
      <c r="B38" s="193"/>
      <c r="C38" s="193"/>
      <c r="D38" s="191" t="s">
        <v>357</v>
      </c>
      <c r="E38" s="191" t="s">
        <v>358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193</v>
      </c>
      <c r="D45" s="191" t="s">
        <v>359</v>
      </c>
      <c r="E45" s="191" t="s">
        <v>360</v>
      </c>
    </row>
    <row r="46" ht="15.75" customHeight="1">
      <c r="B46" s="193"/>
      <c r="C46" s="193"/>
      <c r="D46" s="191" t="s">
        <v>361</v>
      </c>
      <c r="E46" s="191" t="s">
        <v>362</v>
      </c>
    </row>
    <row r="47" ht="15.75" customHeight="1">
      <c r="B47" s="193"/>
      <c r="C47" s="193"/>
      <c r="D47" s="191"/>
      <c r="E47" s="191" t="s">
        <v>358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